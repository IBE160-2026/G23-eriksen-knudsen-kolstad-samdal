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menkolstad/Desktop/"/>
    </mc:Choice>
  </mc:AlternateContent>
  <xr:revisionPtr revIDLastSave="0" documentId="8_{8FF1CD6C-418B-784F-9D4B-A487ADADBB19}" xr6:coauthVersionLast="47" xr6:coauthVersionMax="47" xr10:uidLastSave="{00000000-0000-0000-0000-000000000000}"/>
  <bookViews>
    <workbookView xWindow="1200" yWindow="2620" windowWidth="15020" windowHeight="16460" firstSheet="2" activeTab="8" xr2:uid="{CBE0E91D-5105-B747-9BDD-5681E766A9D1}"/>
  </bookViews>
  <sheets>
    <sheet name="Forklaring" sheetId="2" r:id="rId1"/>
    <sheet name="100-001" sheetId="1" r:id="rId2"/>
    <sheet name="200-001" sheetId="7" r:id="rId3"/>
    <sheet name="200-002" sheetId="8" r:id="rId4"/>
    <sheet name="300-001" sheetId="11" r:id="rId5"/>
    <sheet name="300-002" sheetId="9" r:id="rId6"/>
    <sheet name="300-003" sheetId="10" r:id="rId7"/>
    <sheet name="300-004 " sheetId="12" r:id="rId8"/>
    <sheet name="300-005 " sheetId="13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0" l="1"/>
  <c r="B3" i="10"/>
  <c r="B2" i="10"/>
  <c r="B4" i="9"/>
  <c r="B3" i="9"/>
  <c r="B2" i="9"/>
  <c r="B4" i="11"/>
  <c r="B3" i="11"/>
  <c r="B2" i="11"/>
  <c r="B4" i="8"/>
  <c r="B3" i="8"/>
  <c r="B2" i="8"/>
  <c r="B3" i="13"/>
  <c r="B2" i="13"/>
  <c r="B3" i="1"/>
  <c r="B2" i="1"/>
  <c r="B7" i="1"/>
  <c r="B9" i="1"/>
  <c r="B10" i="1"/>
  <c r="B11" i="1"/>
  <c r="C9" i="1"/>
  <c r="C10" i="1"/>
  <c r="B12" i="1"/>
  <c r="B7" i="13"/>
  <c r="B9" i="13"/>
  <c r="B10" i="13"/>
  <c r="B11" i="13"/>
  <c r="C11" i="1"/>
  <c r="D9" i="1"/>
  <c r="D10" i="1"/>
  <c r="C12" i="1"/>
  <c r="C7" i="13"/>
  <c r="C9" i="13"/>
  <c r="C10" i="13"/>
  <c r="C11" i="13"/>
  <c r="D11" i="1"/>
  <c r="E9" i="1"/>
  <c r="E10" i="1"/>
  <c r="D12" i="1"/>
  <c r="D7" i="13"/>
  <c r="D9" i="13"/>
  <c r="D10" i="13"/>
  <c r="D11" i="13"/>
  <c r="E11" i="1"/>
  <c r="F9" i="1"/>
  <c r="F10" i="1"/>
  <c r="E12" i="1"/>
  <c r="E7" i="13"/>
  <c r="E9" i="13"/>
  <c r="E10" i="13"/>
  <c r="E11" i="13"/>
  <c r="F11" i="1"/>
  <c r="G9" i="1"/>
  <c r="G10" i="1"/>
  <c r="F12" i="1"/>
  <c r="F7" i="13"/>
  <c r="F9" i="13"/>
  <c r="F10" i="13"/>
  <c r="F11" i="13"/>
  <c r="G11" i="1"/>
  <c r="H9" i="1"/>
  <c r="H10" i="1"/>
  <c r="G12" i="1"/>
  <c r="G7" i="13"/>
  <c r="G9" i="13"/>
  <c r="G10" i="13"/>
  <c r="G11" i="13"/>
  <c r="H11" i="1"/>
  <c r="I9" i="1"/>
  <c r="I10" i="1"/>
  <c r="H12" i="1"/>
  <c r="H7" i="13"/>
  <c r="H9" i="13"/>
  <c r="H10" i="13"/>
  <c r="H11" i="13"/>
  <c r="I11" i="1"/>
  <c r="J9" i="1"/>
  <c r="J10" i="1"/>
  <c r="I12" i="1"/>
  <c r="I7" i="13"/>
  <c r="I9" i="13"/>
  <c r="I10" i="13"/>
  <c r="I11" i="13"/>
  <c r="J11" i="1"/>
  <c r="K9" i="1"/>
  <c r="K10" i="1"/>
  <c r="J12" i="1"/>
  <c r="J7" i="13"/>
  <c r="J9" i="13"/>
  <c r="J10" i="13"/>
  <c r="J11" i="13"/>
  <c r="K12" i="1"/>
  <c r="K7" i="13"/>
  <c r="K9" i="13"/>
  <c r="K10" i="13"/>
  <c r="C12" i="13"/>
  <c r="D12" i="13"/>
  <c r="E12" i="13"/>
  <c r="F12" i="13"/>
  <c r="G12" i="13"/>
  <c r="H12" i="13"/>
  <c r="I12" i="13"/>
  <c r="J12" i="13"/>
  <c r="K12" i="13"/>
  <c r="B12" i="13"/>
  <c r="B3" i="12"/>
  <c r="B2" i="12"/>
  <c r="B7" i="12"/>
  <c r="B9" i="12"/>
  <c r="B10" i="12"/>
  <c r="B11" i="12"/>
  <c r="C7" i="12"/>
  <c r="C9" i="12"/>
  <c r="C10" i="12"/>
  <c r="C11" i="12"/>
  <c r="D7" i="12"/>
  <c r="D9" i="12"/>
  <c r="D10" i="12"/>
  <c r="D11" i="12"/>
  <c r="E7" i="12"/>
  <c r="E9" i="12"/>
  <c r="E10" i="12"/>
  <c r="D12" i="12"/>
  <c r="E11" i="12"/>
  <c r="F7" i="12"/>
  <c r="F9" i="12"/>
  <c r="F10" i="12"/>
  <c r="E12" i="12"/>
  <c r="F11" i="12"/>
  <c r="G7" i="12"/>
  <c r="G9" i="12"/>
  <c r="G10" i="12"/>
  <c r="F12" i="12"/>
  <c r="G11" i="12"/>
  <c r="H7" i="12"/>
  <c r="H9" i="12"/>
  <c r="H10" i="12"/>
  <c r="G12" i="12"/>
  <c r="H11" i="12"/>
  <c r="I7" i="12"/>
  <c r="I9" i="12"/>
  <c r="I10" i="12"/>
  <c r="H12" i="12"/>
  <c r="I11" i="12"/>
  <c r="J7" i="12"/>
  <c r="J9" i="12"/>
  <c r="J10" i="12"/>
  <c r="I12" i="12"/>
  <c r="J11" i="12"/>
  <c r="K7" i="12"/>
  <c r="K9" i="12"/>
  <c r="K10" i="12"/>
  <c r="J12" i="12"/>
  <c r="K12" i="12"/>
  <c r="C12" i="12"/>
  <c r="B12" i="12"/>
  <c r="B7" i="8"/>
  <c r="B9" i="8"/>
  <c r="B10" i="8"/>
  <c r="B11" i="8"/>
  <c r="C7" i="8"/>
  <c r="C9" i="8"/>
  <c r="C10" i="8"/>
  <c r="C11" i="8"/>
  <c r="D7" i="8"/>
  <c r="D9" i="8"/>
  <c r="D10" i="8"/>
  <c r="C12" i="8"/>
  <c r="C7" i="10"/>
  <c r="D11" i="8"/>
  <c r="E7" i="8"/>
  <c r="E9" i="8"/>
  <c r="E10" i="8"/>
  <c r="D12" i="8"/>
  <c r="D7" i="10"/>
  <c r="E11" i="8"/>
  <c r="F7" i="8"/>
  <c r="F9" i="8"/>
  <c r="F10" i="8"/>
  <c r="E12" i="8"/>
  <c r="E7" i="10"/>
  <c r="F11" i="8"/>
  <c r="G7" i="8"/>
  <c r="G9" i="8"/>
  <c r="G10" i="8"/>
  <c r="F12" i="8"/>
  <c r="F7" i="10"/>
  <c r="G11" i="8"/>
  <c r="H7" i="8"/>
  <c r="H9" i="8"/>
  <c r="H10" i="8"/>
  <c r="G12" i="8"/>
  <c r="G7" i="10"/>
  <c r="H11" i="8"/>
  <c r="I7" i="8"/>
  <c r="I9" i="8"/>
  <c r="I10" i="8"/>
  <c r="H12" i="8"/>
  <c r="H7" i="10"/>
  <c r="I11" i="8"/>
  <c r="J7" i="8"/>
  <c r="J9" i="8"/>
  <c r="J10" i="8"/>
  <c r="I12" i="8"/>
  <c r="I7" i="10"/>
  <c r="J11" i="8"/>
  <c r="K7" i="8"/>
  <c r="K9" i="8"/>
  <c r="K10" i="8"/>
  <c r="J12" i="8"/>
  <c r="J7" i="10"/>
  <c r="K12" i="8"/>
  <c r="K7" i="10"/>
  <c r="B12" i="8"/>
  <c r="B7" i="10"/>
  <c r="C7" i="7"/>
  <c r="D7" i="7"/>
  <c r="E7" i="7"/>
  <c r="F7" i="7"/>
  <c r="G7" i="7"/>
  <c r="H7" i="7"/>
  <c r="I7" i="7"/>
  <c r="J7" i="7"/>
  <c r="K7" i="7"/>
  <c r="B7" i="7"/>
  <c r="B4" i="13"/>
  <c r="B4" i="12"/>
  <c r="K11" i="13"/>
  <c r="K11" i="12"/>
  <c r="B4" i="7"/>
  <c r="B3" i="7"/>
  <c r="B2" i="7"/>
  <c r="B4" i="1"/>
  <c r="B9" i="7"/>
  <c r="B10" i="7"/>
  <c r="B11" i="7"/>
  <c r="C9" i="7"/>
  <c r="C10" i="7"/>
  <c r="C11" i="7"/>
  <c r="D9" i="7"/>
  <c r="D10" i="7"/>
  <c r="C12" i="7"/>
  <c r="C7" i="11"/>
  <c r="D11" i="7"/>
  <c r="E9" i="7"/>
  <c r="E10" i="7"/>
  <c r="D12" i="7"/>
  <c r="D7" i="11"/>
  <c r="E11" i="7"/>
  <c r="F9" i="7"/>
  <c r="F10" i="7"/>
  <c r="E12" i="7"/>
  <c r="E7" i="11"/>
  <c r="F11" i="7"/>
  <c r="G9" i="7"/>
  <c r="G10" i="7"/>
  <c r="F12" i="7"/>
  <c r="F7" i="11"/>
  <c r="G11" i="7"/>
  <c r="H9" i="7"/>
  <c r="H10" i="7"/>
  <c r="G12" i="7"/>
  <c r="G7" i="11"/>
  <c r="H11" i="7"/>
  <c r="I9" i="7"/>
  <c r="I10" i="7"/>
  <c r="H12" i="7"/>
  <c r="H7" i="11"/>
  <c r="I11" i="7"/>
  <c r="J9" i="7"/>
  <c r="J10" i="7"/>
  <c r="I12" i="7"/>
  <c r="I7" i="11"/>
  <c r="J11" i="7"/>
  <c r="K9" i="7"/>
  <c r="K10" i="7"/>
  <c r="J12" i="7"/>
  <c r="J7" i="11"/>
  <c r="K12" i="7"/>
  <c r="K7" i="11"/>
  <c r="B12" i="7"/>
  <c r="B7" i="11"/>
  <c r="K12" i="11"/>
  <c r="J12" i="11"/>
  <c r="B9" i="11"/>
  <c r="B10" i="11"/>
  <c r="B11" i="11"/>
  <c r="C9" i="11"/>
  <c r="C10" i="11"/>
  <c r="C11" i="11"/>
  <c r="D9" i="11"/>
  <c r="D10" i="11"/>
  <c r="D11" i="11"/>
  <c r="E9" i="11"/>
  <c r="E10" i="11"/>
  <c r="E11" i="11"/>
  <c r="F9" i="11"/>
  <c r="F10" i="11"/>
  <c r="F11" i="11"/>
  <c r="G9" i="11"/>
  <c r="G10" i="11"/>
  <c r="G11" i="11"/>
  <c r="H9" i="11"/>
  <c r="H10" i="11"/>
  <c r="H11" i="11"/>
  <c r="I9" i="11"/>
  <c r="I10" i="11"/>
  <c r="I11" i="11"/>
  <c r="J9" i="11"/>
  <c r="J10" i="11"/>
  <c r="J11" i="11"/>
  <c r="K9" i="11"/>
  <c r="K10" i="11"/>
  <c r="I12" i="11"/>
  <c r="H12" i="11"/>
  <c r="G12" i="11"/>
  <c r="F12" i="11"/>
  <c r="E12" i="11"/>
  <c r="D12" i="11"/>
  <c r="C12" i="11"/>
  <c r="B12" i="11"/>
  <c r="K11" i="11"/>
  <c r="B9" i="10"/>
  <c r="B10" i="10"/>
  <c r="B11" i="10"/>
  <c r="C9" i="10"/>
  <c r="C10" i="10"/>
  <c r="C11" i="10"/>
  <c r="D9" i="10"/>
  <c r="D10" i="10"/>
  <c r="D11" i="10"/>
  <c r="E9" i="10"/>
  <c r="E10" i="10"/>
  <c r="E11" i="10"/>
  <c r="F9" i="10"/>
  <c r="F10" i="10"/>
  <c r="D12" i="10"/>
  <c r="F11" i="10"/>
  <c r="G9" i="10"/>
  <c r="G10" i="10"/>
  <c r="E12" i="10"/>
  <c r="G11" i="10"/>
  <c r="H9" i="10"/>
  <c r="H10" i="10"/>
  <c r="F12" i="10"/>
  <c r="H11" i="10"/>
  <c r="I9" i="10"/>
  <c r="I10" i="10"/>
  <c r="G12" i="10"/>
  <c r="I11" i="10"/>
  <c r="J9" i="10"/>
  <c r="J10" i="10"/>
  <c r="H12" i="10"/>
  <c r="J11" i="10"/>
  <c r="K9" i="10"/>
  <c r="K10" i="10"/>
  <c r="I12" i="10"/>
  <c r="J12" i="10"/>
  <c r="K12" i="10"/>
  <c r="C12" i="10"/>
  <c r="B12" i="10"/>
  <c r="K11" i="10"/>
  <c r="C7" i="9"/>
  <c r="D7" i="9"/>
  <c r="E7" i="9"/>
  <c r="F7" i="9"/>
  <c r="G7" i="9"/>
  <c r="H7" i="9"/>
  <c r="I7" i="9"/>
  <c r="J7" i="9"/>
  <c r="K7" i="9"/>
  <c r="B7" i="9"/>
  <c r="K12" i="9"/>
  <c r="B9" i="9"/>
  <c r="B10" i="9"/>
  <c r="B11" i="9"/>
  <c r="C9" i="9"/>
  <c r="C10" i="9"/>
  <c r="C11" i="9"/>
  <c r="D9" i="9"/>
  <c r="D10" i="9"/>
  <c r="D11" i="9"/>
  <c r="E9" i="9"/>
  <c r="E10" i="9"/>
  <c r="E11" i="9"/>
  <c r="F9" i="9"/>
  <c r="F10" i="9"/>
  <c r="F11" i="9"/>
  <c r="G9" i="9"/>
  <c r="G10" i="9"/>
  <c r="G11" i="9"/>
  <c r="H9" i="9"/>
  <c r="H10" i="9"/>
  <c r="H11" i="9"/>
  <c r="I9" i="9"/>
  <c r="I10" i="9"/>
  <c r="I11" i="9"/>
  <c r="J9" i="9"/>
  <c r="J10" i="9"/>
  <c r="J11" i="9"/>
  <c r="K9" i="9"/>
  <c r="K10" i="9"/>
  <c r="J12" i="9"/>
  <c r="I12" i="9"/>
  <c r="H12" i="9"/>
  <c r="G12" i="9"/>
  <c r="F12" i="9"/>
  <c r="E12" i="9"/>
  <c r="D12" i="9"/>
  <c r="C12" i="9"/>
  <c r="B12" i="9"/>
  <c r="K11" i="9"/>
  <c r="K11" i="8"/>
  <c r="K11" i="7"/>
  <c r="K11" i="1"/>
</calcChain>
</file>

<file path=xl/sharedStrings.xml><?xml version="1.0" encoding="utf-8"?>
<sst xmlns="http://schemas.openxmlformats.org/spreadsheetml/2006/main" count="314" uniqueCount="52">
  <si>
    <t>Del</t>
  </si>
  <si>
    <t>Lager</t>
  </si>
  <si>
    <t>SS</t>
  </si>
  <si>
    <t>Antall per enhet over</t>
  </si>
  <si>
    <t>Delen over</t>
  </si>
  <si>
    <t>100-001 Kontorstol Pro</t>
  </si>
  <si>
    <t>–</t>
  </si>
  <si>
    <t>200-001 Sete</t>
  </si>
  <si>
    <t>200-002 Rygg</t>
  </si>
  <si>
    <t>300-002 Skruesett</t>
  </si>
  <si>
    <t>300-003 Ryggtrekk</t>
  </si>
  <si>
    <t>Bruttobehov</t>
  </si>
  <si>
    <t>Planlagt mottak</t>
  </si>
  <si>
    <t>Disponibel</t>
  </si>
  <si>
    <t>Nettobehov</t>
  </si>
  <si>
    <t>Forventet lager</t>
  </si>
  <si>
    <t>Frigivelse</t>
  </si>
  <si>
    <t>Linje</t>
  </si>
  <si>
    <t>Formel</t>
  </si>
  <si>
    <t>Hva den betyr</t>
  </si>
  <si>
    <t>Nivå 0: prognosen. Under: frigivelsen til delen over × antall</t>
  </si>
  <si>
    <t>Hvor mange vi trenger denne uken</t>
  </si>
  <si>
    <t>Fra arket Planlagte mottak</t>
  </si>
  <si>
    <t>Det som allerede er bestilt og kommer denne uken</t>
  </si>
  <si>
    <t>Forrige ukes forventede lager + planlagt mottak − bruttobehov</t>
  </si>
  <si>
    <t>MAKS(0; sikkerhetslager − disponibel)</t>
  </si>
  <si>
    <t>Hvor mye vi må få inn for å komme opp til sikkerhetslageret</t>
  </si>
  <si>
    <t>Disponibel + nettobehov</t>
  </si>
  <si>
    <t>Lageret ved slutten av uken. Det blir startlageret neste uke.</t>
  </si>
  <si>
    <t>Uker</t>
  </si>
  <si>
    <r>
      <t xml:space="preserve">Hva vi har igjen hvis vi </t>
    </r>
    <r>
      <rPr>
        <i/>
        <sz val="12"/>
        <color theme="1"/>
        <rFont val="Avenir Next Condensed Regular"/>
      </rPr>
      <t>ikke</t>
    </r>
    <r>
      <rPr>
        <sz val="12"/>
        <color theme="1"/>
        <rFont val="Avenir Next Condensed Regular"/>
      </rPr>
      <t xml:space="preserve"> bestiller noe nytt. Kan bli negativ.</t>
    </r>
  </si>
  <si>
    <t>Når bestillingen må sendes. Havner den før uke 1, er den forfalt og legges i uke 1.</t>
  </si>
  <si>
    <t>Nettobehovet flyttes ledetiden bakover i tid</t>
  </si>
  <si>
    <t>A4 / B4- LEDTID</t>
  </si>
  <si>
    <t>A2 / B2- LAGER</t>
  </si>
  <si>
    <t>A3 / B3- SIKKERHETSLAGER</t>
  </si>
  <si>
    <t>A4 / B4 LEDETID</t>
  </si>
  <si>
    <t>A4 / B4 - LEDETID</t>
  </si>
  <si>
    <t>A4 / B4- LEDETID</t>
  </si>
  <si>
    <t>300-001 Seteplate</t>
  </si>
  <si>
    <t>300-004 Hjul</t>
  </si>
  <si>
    <t>Ledetid (uker)</t>
  </si>
  <si>
    <t>300-002 Skruesett M6</t>
  </si>
  <si>
    <t>4 per Sete + 2 per Rygg</t>
  </si>
  <si>
    <t>200-001 Sete + 200-002 Rygg</t>
  </si>
  <si>
    <t>300-005 Gassfjær</t>
  </si>
  <si>
    <t>Registrerte mottak</t>
  </si>
  <si>
    <t>Varsel</t>
  </si>
  <si>
    <t xml:space="preserve">Bestilling forsinket </t>
  </si>
  <si>
    <t>Mottak forsinket</t>
  </si>
  <si>
    <t>Bruk av sikkerhetslager</t>
  </si>
  <si>
    <t>Ledetid overskrider horisont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</si>
</sst>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2"/>
      <color theme="1"/>
      <name val="Avenir Next Condensed Regular"/>
    </font>
    <font>
      <sz val="12"/>
      <color theme="1"/>
      <name val="Avenir Next Condensed Regular"/>
    </font>
    <font>
      <i/>
      <sz val="12"/>
      <color theme="1"/>
      <name val="Avenir Next Condensed Regula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AE9F8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3" fillId="2" borderId="1" xfId="0" applyFont="1" applyFill="1" applyBorder="1"/>
    <xf numFmtId="0" fontId="0" fillId="3" borderId="0" xfId="0" applyFill="1"/>
    <xf numFmtId="0" fontId="3" fillId="3" borderId="0" xfId="0" applyFont="1" applyFill="1"/>
    <xf numFmtId="0" fontId="2" fillId="2" borderId="1" xfId="0" applyFont="1" applyFill="1" applyBorder="1"/>
    <xf numFmtId="0" fontId="8" fillId="0" borderId="0" xfId="0" applyFont="1"/>
    <xf numFmtId="0" fontId="9" fillId="0" borderId="0" xfId="0" applyFont="1"/>
    <xf numFmtId="0" fontId="8" fillId="3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4" fillId="0" borderId="0" xfId="0" applyFont="1"/>
    <xf numFmtId="0" fontId="8" fillId="3" borderId="2" xfId="0" applyFont="1" applyFill="1" applyBorder="1"/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1" fillId="4" borderId="1" xfId="0" applyFont="1" applyFill="1" applyBorder="1"/>
    <xf numFmtId="0" fontId="9" fillId="4" borderId="4" xfId="0" applyFont="1" applyFill="1" applyBorder="1"/>
    <xf numFmtId="0" fontId="9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9F12-6561-6C48-9FBB-98DA607D0F5A}">
  <dimension ref="B6:D12"/>
  <sheetViews>
    <sheetView zoomScale="106" workbookViewId="0">
      <selection activeCell="B3" sqref="B3"/>
    </sheetView>
  </sheetViews>
  <sheetFormatPr baseColWidth="10" defaultRowHeight="16"/>
  <cols>
    <col min="1" max="1" width="4.1640625" customWidth="1"/>
    <col min="2" max="2" width="21.6640625" customWidth="1"/>
    <col min="3" max="3" width="47.1640625" customWidth="1"/>
    <col min="4" max="4" width="57.5" customWidth="1"/>
  </cols>
  <sheetData>
    <row r="6" spans="2:4" ht="17">
      <c r="B6" s="4" t="s">
        <v>17</v>
      </c>
      <c r="C6" s="4" t="s">
        <v>18</v>
      </c>
      <c r="D6" s="4" t="s">
        <v>19</v>
      </c>
    </row>
    <row r="7" spans="2:4" ht="17">
      <c r="B7" s="5" t="s">
        <v>11</v>
      </c>
      <c r="C7" s="6" t="s">
        <v>20</v>
      </c>
      <c r="D7" s="6" t="s">
        <v>21</v>
      </c>
    </row>
    <row r="8" spans="2:4" ht="17">
      <c r="B8" s="5" t="s">
        <v>12</v>
      </c>
      <c r="C8" s="6" t="s">
        <v>22</v>
      </c>
      <c r="D8" s="6" t="s">
        <v>23</v>
      </c>
    </row>
    <row r="9" spans="2:4" ht="17">
      <c r="B9" s="5" t="s">
        <v>13</v>
      </c>
      <c r="C9" s="6" t="s">
        <v>24</v>
      </c>
      <c r="D9" s="6" t="s">
        <v>30</v>
      </c>
    </row>
    <row r="10" spans="2:4" ht="17">
      <c r="B10" s="5" t="s">
        <v>14</v>
      </c>
      <c r="C10" s="6" t="s">
        <v>25</v>
      </c>
      <c r="D10" s="6" t="s">
        <v>26</v>
      </c>
    </row>
    <row r="11" spans="2:4" ht="17">
      <c r="B11" s="5" t="s">
        <v>15</v>
      </c>
      <c r="C11" s="6" t="s">
        <v>27</v>
      </c>
      <c r="D11" s="6" t="s">
        <v>28</v>
      </c>
    </row>
    <row r="12" spans="2:4" ht="17">
      <c r="B12" s="5" t="s">
        <v>16</v>
      </c>
      <c r="C12" s="6" t="s">
        <v>32</v>
      </c>
      <c r="D12" s="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5CD2-48DE-8A46-A379-A6F82378FDF7}">
  <dimension ref="A1:K26"/>
  <sheetViews>
    <sheetView zoomScale="64" zoomScaleNormal="90" workbookViewId="0">
      <selection activeCell="C13" sqref="C13:K13"/>
    </sheetView>
  </sheetViews>
  <sheetFormatPr baseColWidth="10" defaultRowHeight="16"/>
  <cols>
    <col min="1" max="1" width="23.6640625" customWidth="1"/>
    <col min="2" max="2" width="22.83203125" customWidth="1"/>
    <col min="3" max="3" width="17.1640625" customWidth="1"/>
    <col min="4" max="4" width="16.33203125" customWidth="1"/>
    <col min="5" max="5" width="15.5" customWidth="1"/>
    <col min="6" max="6" width="21.5" customWidth="1"/>
    <col min="7" max="7" width="19.33203125" customWidth="1"/>
    <col min="8" max="8" width="15.83203125" customWidth="1"/>
  </cols>
  <sheetData>
    <row r="1" spans="1:11" ht="17">
      <c r="A1" s="8"/>
      <c r="B1" s="9" t="s">
        <v>5</v>
      </c>
    </row>
    <row r="2" spans="1:11" ht="17">
      <c r="A2" s="2" t="s">
        <v>34</v>
      </c>
      <c r="B2" s="10">
        <f>B16</f>
        <v>20</v>
      </c>
    </row>
    <row r="3" spans="1:11" ht="17">
      <c r="A3" s="2" t="s">
        <v>35</v>
      </c>
      <c r="B3" s="10">
        <f>C16</f>
        <v>5</v>
      </c>
    </row>
    <row r="4" spans="1:11" ht="17">
      <c r="A4" s="2" t="s">
        <v>36</v>
      </c>
      <c r="B4" s="10">
        <f>D16</f>
        <v>1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30</f>
        <v>30</v>
      </c>
      <c r="C7" s="3">
        <v>30</v>
      </c>
      <c r="D7" s="3">
        <v>35</v>
      </c>
      <c r="E7" s="3">
        <v>25</v>
      </c>
      <c r="F7" s="3">
        <v>40</v>
      </c>
      <c r="G7" s="3">
        <v>35</v>
      </c>
      <c r="H7" s="3">
        <v>30</v>
      </c>
      <c r="I7" s="3">
        <v>45</v>
      </c>
      <c r="J7" s="3">
        <v>35</v>
      </c>
      <c r="K7" s="3">
        <v>30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-10</v>
      </c>
      <c r="C9" s="3">
        <f t="shared" ref="C9:K9" si="0">B11+C8-C7</f>
        <v>-25</v>
      </c>
      <c r="D9" s="3">
        <f t="shared" si="0"/>
        <v>-30</v>
      </c>
      <c r="E9" s="3">
        <f t="shared" si="0"/>
        <v>-20</v>
      </c>
      <c r="F9" s="3">
        <f t="shared" si="0"/>
        <v>-35</v>
      </c>
      <c r="G9" s="3">
        <f t="shared" si="0"/>
        <v>-30</v>
      </c>
      <c r="H9" s="3">
        <f t="shared" si="0"/>
        <v>-25</v>
      </c>
      <c r="I9" s="3">
        <f t="shared" si="0"/>
        <v>-40</v>
      </c>
      <c r="J9" s="3">
        <f t="shared" si="0"/>
        <v>-30</v>
      </c>
      <c r="K9" s="3">
        <f t="shared" si="0"/>
        <v>-25</v>
      </c>
    </row>
    <row r="10" spans="1:11" ht="17">
      <c r="A10" s="7" t="s">
        <v>14</v>
      </c>
      <c r="B10" s="3">
        <f>MAXA(0,$B$3-B9)</f>
        <v>15</v>
      </c>
      <c r="C10" s="3">
        <f t="shared" ref="C10:K10" si="1">MAXA(0,$B$3-C9)</f>
        <v>30</v>
      </c>
      <c r="D10" s="3">
        <f t="shared" si="1"/>
        <v>35</v>
      </c>
      <c r="E10" s="3">
        <f t="shared" si="1"/>
        <v>25</v>
      </c>
      <c r="F10" s="3">
        <f t="shared" si="1"/>
        <v>40</v>
      </c>
      <c r="G10" s="3">
        <f t="shared" si="1"/>
        <v>35</v>
      </c>
      <c r="H10" s="3">
        <f t="shared" si="1"/>
        <v>30</v>
      </c>
      <c r="I10" s="3">
        <f t="shared" si="1"/>
        <v>45</v>
      </c>
      <c r="J10" s="3">
        <f t="shared" si="1"/>
        <v>35</v>
      </c>
      <c r="K10" s="3">
        <f t="shared" si="1"/>
        <v>30</v>
      </c>
    </row>
    <row r="11" spans="1:11" ht="17">
      <c r="A11" s="7" t="s">
        <v>15</v>
      </c>
      <c r="B11" s="1">
        <f t="shared" ref="B11:K11" si="2">B9+B10</f>
        <v>5</v>
      </c>
      <c r="C11" s="1">
        <f t="shared" si="2"/>
        <v>5</v>
      </c>
      <c r="D11" s="1">
        <f t="shared" si="2"/>
        <v>5</v>
      </c>
      <c r="E11" s="1">
        <f t="shared" si="2"/>
        <v>5</v>
      </c>
      <c r="F11" s="1">
        <f t="shared" si="2"/>
        <v>5</v>
      </c>
      <c r="G11" s="1">
        <f t="shared" si="2"/>
        <v>5</v>
      </c>
      <c r="H11" s="1">
        <f t="shared" si="2"/>
        <v>5</v>
      </c>
      <c r="I11" s="1">
        <f t="shared" si="2"/>
        <v>5</v>
      </c>
      <c r="J11" s="1">
        <f t="shared" si="2"/>
        <v>5</v>
      </c>
      <c r="K11" s="1">
        <f t="shared" si="2"/>
        <v>5</v>
      </c>
    </row>
    <row r="12" spans="1:11" ht="17">
      <c r="A12" s="7" t="s">
        <v>16</v>
      </c>
      <c r="B12" s="3">
        <f>B10+C10</f>
        <v>45</v>
      </c>
      <c r="C12" s="3">
        <f t="shared" ref="C12:J12" si="3">D10</f>
        <v>35</v>
      </c>
      <c r="D12" s="3">
        <f t="shared" si="3"/>
        <v>25</v>
      </c>
      <c r="E12" s="3">
        <f t="shared" si="3"/>
        <v>40</v>
      </c>
      <c r="F12" s="3">
        <f t="shared" si="3"/>
        <v>35</v>
      </c>
      <c r="G12" s="3">
        <f t="shared" si="3"/>
        <v>30</v>
      </c>
      <c r="H12" s="3">
        <f t="shared" si="3"/>
        <v>45</v>
      </c>
      <c r="I12" s="3">
        <f t="shared" si="3"/>
        <v>35</v>
      </c>
      <c r="J12" s="3">
        <f t="shared" si="3"/>
        <v>30</v>
      </c>
      <c r="K12" s="3">
        <f>M9</f>
        <v>0</v>
      </c>
    </row>
    <row r="13" spans="1:11" ht="17">
      <c r="A13" s="7" t="s">
        <v>47</v>
      </c>
      <c r="B13" s="3" t="s">
        <v>48</v>
      </c>
      <c r="C13" s="3"/>
      <c r="D13" s="3"/>
      <c r="E13" s="3"/>
      <c r="F13" s="3"/>
      <c r="G13" s="3"/>
      <c r="H13" s="3"/>
      <c r="I13" s="3"/>
      <c r="J13" s="3"/>
      <c r="K13" s="3"/>
    </row>
    <row r="15" spans="1:11">
      <c r="A15" s="13" t="s">
        <v>0</v>
      </c>
      <c r="B15" s="13" t="s">
        <v>1</v>
      </c>
      <c r="C15" s="13" t="s">
        <v>2</v>
      </c>
      <c r="D15" s="13" t="s">
        <v>41</v>
      </c>
      <c r="E15" s="13" t="s">
        <v>3</v>
      </c>
      <c r="F15" s="24" t="s">
        <v>4</v>
      </c>
      <c r="G15" s="24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23" t="s">
        <v>6</v>
      </c>
      <c r="G16" s="23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23" t="s">
        <v>5</v>
      </c>
      <c r="G17" s="23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23" t="s">
        <v>5</v>
      </c>
      <c r="G18" s="23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23" t="s">
        <v>7</v>
      </c>
      <c r="G19" s="23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23" t="s">
        <v>44</v>
      </c>
      <c r="G20" s="23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23" t="s">
        <v>8</v>
      </c>
      <c r="G21" s="23"/>
    </row>
    <row r="22" spans="1:7" ht="16" customHeight="1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23" t="s">
        <v>5</v>
      </c>
      <c r="G22" s="23"/>
    </row>
    <row r="23" spans="1:7" ht="16" customHeight="1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23" t="s">
        <v>5</v>
      </c>
      <c r="G23" s="23"/>
    </row>
    <row r="24" spans="1:7" ht="16" customHeight="1"/>
    <row r="25" spans="1:7" ht="18" customHeight="1"/>
    <row r="26" spans="1:7" ht="16" customHeight="1"/>
  </sheetData>
  <mergeCells count="9">
    <mergeCell ref="F21:G21"/>
    <mergeCell ref="F22:G22"/>
    <mergeCell ref="F23:G23"/>
    <mergeCell ref="F15:G15"/>
    <mergeCell ref="F16:G16"/>
    <mergeCell ref="F17:G17"/>
    <mergeCell ref="F18:G18"/>
    <mergeCell ref="F19:G19"/>
    <mergeCell ref="F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CDD5-171D-1B4B-89D1-B33F639D6226}">
  <dimension ref="A1:K26"/>
  <sheetViews>
    <sheetView zoomScale="69" zoomScaleNormal="90" workbookViewId="0">
      <selection activeCell="A13" sqref="A13:K13"/>
    </sheetView>
  </sheetViews>
  <sheetFormatPr baseColWidth="10" defaultRowHeight="16"/>
  <cols>
    <col min="1" max="1" width="23.6640625" customWidth="1"/>
    <col min="2" max="2" width="22.83203125" customWidth="1"/>
    <col min="3" max="3" width="17.1640625" customWidth="1"/>
    <col min="4" max="4" width="15.83203125" customWidth="1"/>
    <col min="5" max="5" width="16.33203125" customWidth="1"/>
    <col min="6" max="6" width="24.83203125" customWidth="1"/>
    <col min="7" max="7" width="13.33203125" customWidth="1"/>
  </cols>
  <sheetData>
    <row r="1" spans="1:11" ht="17">
      <c r="A1" s="8"/>
      <c r="B1" s="9" t="s">
        <v>7</v>
      </c>
    </row>
    <row r="2" spans="1:11" ht="17">
      <c r="A2" s="2" t="s">
        <v>34</v>
      </c>
      <c r="B2" s="10">
        <f>B17</f>
        <v>30</v>
      </c>
    </row>
    <row r="3" spans="1:11" ht="17">
      <c r="A3" s="2" t="s">
        <v>35</v>
      </c>
      <c r="B3" s="10">
        <f>C17</f>
        <v>5</v>
      </c>
    </row>
    <row r="4" spans="1:11" ht="17">
      <c r="A4" s="2" t="s">
        <v>37</v>
      </c>
      <c r="B4" s="10">
        <f>D17</f>
        <v>1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'100-001'!B12</f>
        <v>45</v>
      </c>
      <c r="C7" s="3">
        <f>'100-001'!C12</f>
        <v>35</v>
      </c>
      <c r="D7" s="3">
        <f>'100-001'!D12</f>
        <v>25</v>
      </c>
      <c r="E7" s="3">
        <f>'100-001'!E12</f>
        <v>40</v>
      </c>
      <c r="F7" s="3">
        <f>'100-001'!F12</f>
        <v>35</v>
      </c>
      <c r="G7" s="3">
        <f>'100-001'!G12</f>
        <v>30</v>
      </c>
      <c r="H7" s="3">
        <f>'100-001'!H12</f>
        <v>45</v>
      </c>
      <c r="I7" s="3">
        <f>'100-001'!I12</f>
        <v>35</v>
      </c>
      <c r="J7" s="3">
        <f>'100-001'!J12</f>
        <v>30</v>
      </c>
      <c r="K7" s="3">
        <f>'100-001'!K12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-15</v>
      </c>
      <c r="C9" s="3">
        <f>B11+C8-C7</f>
        <v>-30</v>
      </c>
      <c r="D9" s="3">
        <f t="shared" ref="D9:K9" si="0">C11+D8-D7</f>
        <v>-20</v>
      </c>
      <c r="E9" s="3">
        <f t="shared" si="0"/>
        <v>-35</v>
      </c>
      <c r="F9" s="3">
        <f t="shared" si="0"/>
        <v>-30</v>
      </c>
      <c r="G9" s="3">
        <f t="shared" si="0"/>
        <v>-25</v>
      </c>
      <c r="H9" s="3">
        <f t="shared" si="0"/>
        <v>-40</v>
      </c>
      <c r="I9" s="3">
        <f t="shared" si="0"/>
        <v>-30</v>
      </c>
      <c r="J9" s="3">
        <f t="shared" si="0"/>
        <v>-25</v>
      </c>
      <c r="K9" s="3">
        <f t="shared" si="0"/>
        <v>5</v>
      </c>
    </row>
    <row r="10" spans="1:11" ht="17">
      <c r="A10" s="7" t="s">
        <v>14</v>
      </c>
      <c r="B10" s="3">
        <f>MAXA(0,$B$3-B9)</f>
        <v>20</v>
      </c>
      <c r="C10" s="3">
        <f t="shared" ref="C10:K10" si="1">MAXA(0,$B$3-C9)</f>
        <v>35</v>
      </c>
      <c r="D10" s="3">
        <f t="shared" si="1"/>
        <v>25</v>
      </c>
      <c r="E10" s="3">
        <f t="shared" si="1"/>
        <v>40</v>
      </c>
      <c r="F10" s="3">
        <f t="shared" si="1"/>
        <v>35</v>
      </c>
      <c r="G10" s="3">
        <f t="shared" si="1"/>
        <v>30</v>
      </c>
      <c r="H10" s="3">
        <f t="shared" si="1"/>
        <v>45</v>
      </c>
      <c r="I10" s="3">
        <f t="shared" si="1"/>
        <v>35</v>
      </c>
      <c r="J10" s="3">
        <f t="shared" si="1"/>
        <v>30</v>
      </c>
      <c r="K10" s="3">
        <f t="shared" si="1"/>
        <v>0</v>
      </c>
    </row>
    <row r="11" spans="1:11" ht="17">
      <c r="A11" s="7" t="s">
        <v>15</v>
      </c>
      <c r="B11" s="1">
        <f>B9+B10</f>
        <v>5</v>
      </c>
      <c r="C11" s="1">
        <f t="shared" ref="C11:K11" si="2">C9+C10</f>
        <v>5</v>
      </c>
      <c r="D11" s="1">
        <f t="shared" si="2"/>
        <v>5</v>
      </c>
      <c r="E11" s="1">
        <f t="shared" si="2"/>
        <v>5</v>
      </c>
      <c r="F11" s="1">
        <f t="shared" si="2"/>
        <v>5</v>
      </c>
      <c r="G11" s="1">
        <f t="shared" si="2"/>
        <v>5</v>
      </c>
      <c r="H11" s="1">
        <f t="shared" si="2"/>
        <v>5</v>
      </c>
      <c r="I11" s="1">
        <f t="shared" si="2"/>
        <v>5</v>
      </c>
      <c r="J11" s="1">
        <f t="shared" si="2"/>
        <v>5</v>
      </c>
      <c r="K11" s="1">
        <f t="shared" si="2"/>
        <v>5</v>
      </c>
    </row>
    <row r="12" spans="1:11" ht="17">
      <c r="A12" s="7" t="s">
        <v>16</v>
      </c>
      <c r="B12" s="3">
        <f>B10+C10</f>
        <v>55</v>
      </c>
      <c r="C12" s="3">
        <f t="shared" ref="C12:J12" si="3">D10</f>
        <v>25</v>
      </c>
      <c r="D12" s="3">
        <f t="shared" si="3"/>
        <v>40</v>
      </c>
      <c r="E12" s="3">
        <f t="shared" si="3"/>
        <v>35</v>
      </c>
      <c r="F12" s="3">
        <f t="shared" si="3"/>
        <v>30</v>
      </c>
      <c r="G12" s="3">
        <f t="shared" si="3"/>
        <v>45</v>
      </c>
      <c r="H12" s="3">
        <f t="shared" si="3"/>
        <v>35</v>
      </c>
      <c r="I12" s="3">
        <f t="shared" si="3"/>
        <v>30</v>
      </c>
      <c r="J12" s="3">
        <f t="shared" si="3"/>
        <v>0</v>
      </c>
      <c r="K12" s="3">
        <f>M9</f>
        <v>0</v>
      </c>
    </row>
    <row r="13" spans="1:11" ht="17">
      <c r="A13" s="7" t="s">
        <v>47</v>
      </c>
      <c r="B13" s="3" t="s">
        <v>48</v>
      </c>
      <c r="C13" s="3"/>
      <c r="D13" s="3"/>
      <c r="E13" s="3"/>
      <c r="F13" s="3"/>
      <c r="G13" s="3"/>
      <c r="H13" s="3"/>
      <c r="I13" s="3"/>
      <c r="J13" s="3"/>
      <c r="K13" s="3"/>
    </row>
    <row r="15" spans="1:11">
      <c r="A15" s="13" t="s">
        <v>0</v>
      </c>
      <c r="B15" s="13" t="s">
        <v>1</v>
      </c>
      <c r="C15" s="13" t="s">
        <v>2</v>
      </c>
      <c r="D15" s="13" t="s">
        <v>41</v>
      </c>
      <c r="E15" s="13" t="s">
        <v>3</v>
      </c>
      <c r="F15" s="24" t="s">
        <v>4</v>
      </c>
      <c r="G15" s="24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23" t="s">
        <v>6</v>
      </c>
      <c r="G16" s="23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23" t="s">
        <v>5</v>
      </c>
      <c r="G17" s="23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23" t="s">
        <v>5</v>
      </c>
      <c r="G18" s="23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23" t="s">
        <v>7</v>
      </c>
      <c r="G19" s="23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23" t="s">
        <v>44</v>
      </c>
      <c r="G20" s="23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23" t="s">
        <v>8</v>
      </c>
      <c r="G21" s="23"/>
    </row>
    <row r="22" spans="1:7" ht="16" customHeight="1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23" t="s">
        <v>5</v>
      </c>
      <c r="G22" s="23"/>
    </row>
    <row r="23" spans="1:7" ht="16" customHeight="1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23" t="s">
        <v>5</v>
      </c>
      <c r="G23" s="23"/>
    </row>
    <row r="24" spans="1:7" ht="16" customHeight="1"/>
    <row r="25" spans="1:7" ht="18" customHeight="1"/>
    <row r="26" spans="1:7" ht="16" customHeight="1"/>
  </sheetData>
  <mergeCells count="9">
    <mergeCell ref="F21:G21"/>
    <mergeCell ref="F22:G22"/>
    <mergeCell ref="F23:G23"/>
    <mergeCell ref="F15:G15"/>
    <mergeCell ref="F16:G16"/>
    <mergeCell ref="F17:G17"/>
    <mergeCell ref="F18:G18"/>
    <mergeCell ref="F19:G19"/>
    <mergeCell ref="F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2AD8-CA45-304A-A4BD-4711B982C9CB}">
  <dimension ref="A1:K26"/>
  <sheetViews>
    <sheetView zoomScale="94" zoomScaleNormal="90" workbookViewId="0">
      <selection activeCell="B5" sqref="B5"/>
    </sheetView>
  </sheetViews>
  <sheetFormatPr baseColWidth="10" defaultRowHeight="16"/>
  <cols>
    <col min="1" max="1" width="22.5" customWidth="1"/>
    <col min="2" max="2" width="22.83203125" customWidth="1"/>
    <col min="3" max="3" width="17.1640625" customWidth="1"/>
    <col min="4" max="4" width="17.5" customWidth="1"/>
    <col min="5" max="5" width="18.33203125" customWidth="1"/>
  </cols>
  <sheetData>
    <row r="1" spans="1:11" ht="17">
      <c r="A1" s="8"/>
      <c r="B1" s="9" t="s">
        <v>8</v>
      </c>
    </row>
    <row r="2" spans="1:11" ht="17">
      <c r="A2" s="2" t="s">
        <v>34</v>
      </c>
      <c r="B2" s="10">
        <f>B18</f>
        <v>85</v>
      </c>
    </row>
    <row r="3" spans="1:11" ht="17">
      <c r="A3" s="2" t="s">
        <v>35</v>
      </c>
      <c r="B3" s="10">
        <f>C18</f>
        <v>5</v>
      </c>
    </row>
    <row r="4" spans="1:11" ht="17">
      <c r="A4" s="2" t="s">
        <v>33</v>
      </c>
      <c r="B4" s="10">
        <f>D18</f>
        <v>1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'100-001'!B12*1</f>
        <v>45</v>
      </c>
      <c r="C7" s="3">
        <f>'100-001'!C12*1</f>
        <v>35</v>
      </c>
      <c r="D7" s="3">
        <f>'100-001'!D12*1</f>
        <v>25</v>
      </c>
      <c r="E7" s="3">
        <f>'100-001'!E12*1</f>
        <v>40</v>
      </c>
      <c r="F7" s="3">
        <f>'100-001'!F12*1</f>
        <v>35</v>
      </c>
      <c r="G7" s="3">
        <f>'100-001'!G12*1</f>
        <v>30</v>
      </c>
      <c r="H7" s="3">
        <f>'100-001'!H12*1</f>
        <v>45</v>
      </c>
      <c r="I7" s="3">
        <f>'100-001'!I12*1</f>
        <v>35</v>
      </c>
      <c r="J7" s="3">
        <f>'100-001'!J12*1</f>
        <v>30</v>
      </c>
      <c r="K7" s="3">
        <f>'100-001'!K12*1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40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40</v>
      </c>
      <c r="C9" s="3">
        <f>B11+C8-C7</f>
        <v>5</v>
      </c>
      <c r="D9" s="3">
        <f t="shared" ref="D9:K9" si="0">C11+D8-D7</f>
        <v>-20</v>
      </c>
      <c r="E9" s="3">
        <f t="shared" si="0"/>
        <v>5</v>
      </c>
      <c r="F9" s="3">
        <f t="shared" si="0"/>
        <v>-30</v>
      </c>
      <c r="G9" s="3">
        <f t="shared" si="0"/>
        <v>-25</v>
      </c>
      <c r="H9" s="3">
        <f t="shared" si="0"/>
        <v>-40</v>
      </c>
      <c r="I9" s="3">
        <f t="shared" si="0"/>
        <v>-30</v>
      </c>
      <c r="J9" s="3">
        <f t="shared" si="0"/>
        <v>-25</v>
      </c>
      <c r="K9" s="3">
        <f t="shared" si="0"/>
        <v>5</v>
      </c>
    </row>
    <row r="10" spans="1:11" ht="17">
      <c r="A10" s="7" t="s">
        <v>14</v>
      </c>
      <c r="B10" s="3">
        <f>MAXA(0,$B$3-B9)</f>
        <v>0</v>
      </c>
      <c r="C10" s="3">
        <f t="shared" ref="C10:K10" si="1">MAXA(0,$B$3-C9)</f>
        <v>0</v>
      </c>
      <c r="D10" s="3">
        <f t="shared" si="1"/>
        <v>25</v>
      </c>
      <c r="E10" s="3">
        <f t="shared" si="1"/>
        <v>0</v>
      </c>
      <c r="F10" s="3">
        <f t="shared" si="1"/>
        <v>35</v>
      </c>
      <c r="G10" s="3">
        <f t="shared" si="1"/>
        <v>30</v>
      </c>
      <c r="H10" s="3">
        <f t="shared" si="1"/>
        <v>45</v>
      </c>
      <c r="I10" s="3">
        <f t="shared" si="1"/>
        <v>35</v>
      </c>
      <c r="J10" s="3">
        <f t="shared" si="1"/>
        <v>30</v>
      </c>
      <c r="K10" s="3">
        <f t="shared" si="1"/>
        <v>0</v>
      </c>
    </row>
    <row r="11" spans="1:11" ht="17">
      <c r="A11" s="7" t="s">
        <v>15</v>
      </c>
      <c r="B11" s="1">
        <f>B9+B10</f>
        <v>40</v>
      </c>
      <c r="C11" s="1">
        <f t="shared" ref="C11:K11" si="2">C9+C10</f>
        <v>5</v>
      </c>
      <c r="D11" s="1">
        <f t="shared" si="2"/>
        <v>5</v>
      </c>
      <c r="E11" s="1">
        <f t="shared" si="2"/>
        <v>5</v>
      </c>
      <c r="F11" s="1">
        <f t="shared" si="2"/>
        <v>5</v>
      </c>
      <c r="G11" s="1">
        <f t="shared" si="2"/>
        <v>5</v>
      </c>
      <c r="H11" s="1">
        <f t="shared" si="2"/>
        <v>5</v>
      </c>
      <c r="I11" s="1">
        <f t="shared" si="2"/>
        <v>5</v>
      </c>
      <c r="J11" s="1">
        <f t="shared" si="2"/>
        <v>5</v>
      </c>
      <c r="K11" s="1">
        <f t="shared" si="2"/>
        <v>5</v>
      </c>
    </row>
    <row r="12" spans="1:11" ht="17">
      <c r="A12" s="7" t="s">
        <v>16</v>
      </c>
      <c r="B12" s="3">
        <f>B10+C10</f>
        <v>0</v>
      </c>
      <c r="C12" s="3">
        <f t="shared" ref="C12:J12" si="3">D10</f>
        <v>25</v>
      </c>
      <c r="D12" s="3">
        <f t="shared" si="3"/>
        <v>0</v>
      </c>
      <c r="E12" s="3">
        <f t="shared" si="3"/>
        <v>35</v>
      </c>
      <c r="F12" s="3">
        <f t="shared" si="3"/>
        <v>30</v>
      </c>
      <c r="G12" s="3">
        <f t="shared" si="3"/>
        <v>45</v>
      </c>
      <c r="H12" s="3">
        <f t="shared" si="3"/>
        <v>35</v>
      </c>
      <c r="I12" s="3">
        <f t="shared" si="3"/>
        <v>30</v>
      </c>
      <c r="J12" s="3">
        <f t="shared" si="3"/>
        <v>0</v>
      </c>
      <c r="K12" s="3">
        <f>M9</f>
        <v>0</v>
      </c>
    </row>
    <row r="13" spans="1:11" ht="17">
      <c r="A13" s="7" t="s">
        <v>47</v>
      </c>
      <c r="B13" s="3"/>
      <c r="C13" s="3"/>
      <c r="D13" s="3" t="s">
        <v>49</v>
      </c>
      <c r="E13" s="3"/>
      <c r="F13" s="3"/>
      <c r="G13" s="3"/>
      <c r="H13" s="3"/>
      <c r="I13" s="3"/>
      <c r="J13" s="3"/>
      <c r="K13" s="3"/>
    </row>
    <row r="14" spans="1:11">
      <c r="A14" s="11"/>
      <c r="B14" s="11"/>
      <c r="C14" s="11"/>
      <c r="D14" s="11"/>
      <c r="E14" s="11"/>
      <c r="F14" s="25"/>
      <c r="G14" s="25"/>
    </row>
    <row r="15" spans="1:11">
      <c r="A15" s="18" t="s">
        <v>0</v>
      </c>
      <c r="B15" s="18" t="s">
        <v>1</v>
      </c>
      <c r="C15" s="18" t="s">
        <v>2</v>
      </c>
      <c r="D15" s="18" t="s">
        <v>41</v>
      </c>
      <c r="E15" s="18" t="s">
        <v>3</v>
      </c>
      <c r="F15" s="26" t="s">
        <v>4</v>
      </c>
      <c r="G15" s="26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16" t="s">
        <v>6</v>
      </c>
      <c r="G16" s="16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16" t="s">
        <v>5</v>
      </c>
      <c r="G17" s="16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16" t="s">
        <v>5</v>
      </c>
      <c r="G18" s="16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16" t="s">
        <v>7</v>
      </c>
      <c r="G19" s="16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16" t="s">
        <v>44</v>
      </c>
      <c r="G20" s="16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16" t="s">
        <v>8</v>
      </c>
      <c r="G21" s="16"/>
    </row>
    <row r="22" spans="1:7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16" t="s">
        <v>5</v>
      </c>
      <c r="G22" s="16"/>
    </row>
    <row r="23" spans="1:7" ht="16" customHeight="1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16" t="s">
        <v>5</v>
      </c>
      <c r="G23" s="16"/>
    </row>
    <row r="24" spans="1:7" ht="16" customHeight="1"/>
    <row r="25" spans="1:7" ht="18" customHeight="1"/>
    <row r="26" spans="1:7" ht="16" customHeight="1"/>
  </sheetData>
  <mergeCells count="2">
    <mergeCell ref="F14:G14"/>
    <mergeCell ref="F15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467B-03D8-0747-87F3-61982B5A7CE2}">
  <dimension ref="A1:K34"/>
  <sheetViews>
    <sheetView zoomScale="83" zoomScaleNormal="58" workbookViewId="0">
      <selection activeCell="B4" sqref="B4"/>
    </sheetView>
  </sheetViews>
  <sheetFormatPr baseColWidth="10" defaultRowHeight="16"/>
  <cols>
    <col min="1" max="1" width="26.1640625" customWidth="1"/>
    <col min="2" max="2" width="24" customWidth="1"/>
    <col min="3" max="3" width="17.1640625" customWidth="1"/>
    <col min="4" max="4" width="15.6640625" customWidth="1"/>
    <col min="5" max="5" width="17.5" customWidth="1"/>
    <col min="6" max="6" width="23.1640625" customWidth="1"/>
  </cols>
  <sheetData>
    <row r="1" spans="1:11" ht="17">
      <c r="A1" s="8"/>
      <c r="B1" s="9" t="s">
        <v>39</v>
      </c>
    </row>
    <row r="2" spans="1:11" ht="17">
      <c r="A2" s="2" t="s">
        <v>34</v>
      </c>
      <c r="B2" s="10">
        <f>B19</f>
        <v>120</v>
      </c>
    </row>
    <row r="3" spans="1:11" ht="17">
      <c r="A3" s="2" t="s">
        <v>35</v>
      </c>
      <c r="B3" s="10">
        <f>C19</f>
        <v>10</v>
      </c>
    </row>
    <row r="4" spans="1:11" ht="17">
      <c r="A4" s="2" t="s">
        <v>38</v>
      </c>
      <c r="B4" s="10">
        <f>D19</f>
        <v>2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'200-001'!B12</f>
        <v>55</v>
      </c>
      <c r="C7" s="3">
        <f>'200-001'!C12</f>
        <v>25</v>
      </c>
      <c r="D7" s="3">
        <f>'200-001'!D12</f>
        <v>40</v>
      </c>
      <c r="E7" s="3">
        <f>'200-001'!E12</f>
        <v>35</v>
      </c>
      <c r="F7" s="3">
        <f>'200-001'!F12</f>
        <v>30</v>
      </c>
      <c r="G7" s="3">
        <f>'200-001'!G12</f>
        <v>45</v>
      </c>
      <c r="H7" s="3">
        <f>'200-001'!H12</f>
        <v>35</v>
      </c>
      <c r="I7" s="3">
        <f>'200-001'!I12</f>
        <v>30</v>
      </c>
      <c r="J7" s="3">
        <f>'200-001'!J12</f>
        <v>0</v>
      </c>
      <c r="K7" s="3">
        <f>'200-001'!K12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65</v>
      </c>
      <c r="C9" s="3">
        <f>B11+C8-C7</f>
        <v>40</v>
      </c>
      <c r="D9" s="3">
        <f t="shared" ref="D9:K9" si="0">C11+D8-D7</f>
        <v>0</v>
      </c>
      <c r="E9" s="3">
        <f t="shared" si="0"/>
        <v>-25</v>
      </c>
      <c r="F9" s="3">
        <f t="shared" si="0"/>
        <v>-20</v>
      </c>
      <c r="G9" s="3">
        <f t="shared" si="0"/>
        <v>-35</v>
      </c>
      <c r="H9" s="3">
        <f t="shared" si="0"/>
        <v>-25</v>
      </c>
      <c r="I9" s="3">
        <f t="shared" si="0"/>
        <v>-20</v>
      </c>
      <c r="J9" s="3">
        <f t="shared" si="0"/>
        <v>10</v>
      </c>
      <c r="K9" s="3">
        <f t="shared" si="0"/>
        <v>10</v>
      </c>
    </row>
    <row r="10" spans="1:11" ht="17">
      <c r="A10" s="7" t="s">
        <v>14</v>
      </c>
      <c r="B10" s="3">
        <f>MAXA(0,$B$3-B9)</f>
        <v>0</v>
      </c>
      <c r="C10" s="3">
        <f t="shared" ref="C10:K10" si="1">MAXA(0,$B$3-C9)</f>
        <v>0</v>
      </c>
      <c r="D10" s="3">
        <f t="shared" si="1"/>
        <v>10</v>
      </c>
      <c r="E10" s="3">
        <f t="shared" si="1"/>
        <v>35</v>
      </c>
      <c r="F10" s="3">
        <f t="shared" si="1"/>
        <v>30</v>
      </c>
      <c r="G10" s="3">
        <f t="shared" si="1"/>
        <v>45</v>
      </c>
      <c r="H10" s="3">
        <f t="shared" si="1"/>
        <v>35</v>
      </c>
      <c r="I10" s="3">
        <f t="shared" si="1"/>
        <v>30</v>
      </c>
      <c r="J10" s="3">
        <f t="shared" si="1"/>
        <v>0</v>
      </c>
      <c r="K10" s="3">
        <f t="shared" si="1"/>
        <v>0</v>
      </c>
    </row>
    <row r="11" spans="1:11" ht="17">
      <c r="A11" s="7" t="s">
        <v>15</v>
      </c>
      <c r="B11" s="1">
        <f>B9+B10</f>
        <v>65</v>
      </c>
      <c r="C11" s="1">
        <f t="shared" ref="C11:K11" si="2">C9+C10</f>
        <v>40</v>
      </c>
      <c r="D11" s="1">
        <f t="shared" si="2"/>
        <v>10</v>
      </c>
      <c r="E11" s="1">
        <f t="shared" si="2"/>
        <v>10</v>
      </c>
      <c r="F11" s="1">
        <f t="shared" si="2"/>
        <v>10</v>
      </c>
      <c r="G11" s="1">
        <f t="shared" si="2"/>
        <v>10</v>
      </c>
      <c r="H11" s="1">
        <f t="shared" si="2"/>
        <v>10</v>
      </c>
      <c r="I11" s="1">
        <f t="shared" si="2"/>
        <v>10</v>
      </c>
      <c r="J11" s="1">
        <f t="shared" si="2"/>
        <v>10</v>
      </c>
      <c r="K11" s="1">
        <f t="shared" si="2"/>
        <v>10</v>
      </c>
    </row>
    <row r="12" spans="1:11" ht="17">
      <c r="A12" s="7" t="s">
        <v>16</v>
      </c>
      <c r="B12" s="3">
        <f>B10+C10+D10</f>
        <v>10</v>
      </c>
      <c r="C12" s="3">
        <f t="shared" ref="C12:I12" si="3">E10</f>
        <v>35</v>
      </c>
      <c r="D12" s="3">
        <f t="shared" si="3"/>
        <v>30</v>
      </c>
      <c r="E12" s="3">
        <f t="shared" si="3"/>
        <v>45</v>
      </c>
      <c r="F12" s="3">
        <f t="shared" si="3"/>
        <v>35</v>
      </c>
      <c r="G12" s="3">
        <f t="shared" si="3"/>
        <v>30</v>
      </c>
      <c r="H12" s="3">
        <f t="shared" si="3"/>
        <v>0</v>
      </c>
      <c r="I12" s="3">
        <f t="shared" si="3"/>
        <v>0</v>
      </c>
      <c r="J12" s="3">
        <f>M9</f>
        <v>0</v>
      </c>
      <c r="K12" s="3">
        <f>N9</f>
        <v>0</v>
      </c>
    </row>
    <row r="13" spans="1:11" ht="17">
      <c r="A13" s="7" t="s">
        <v>47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11"/>
      <c r="B14" s="11"/>
      <c r="C14" s="11"/>
      <c r="D14" s="11"/>
      <c r="E14" s="11"/>
      <c r="F14" s="25"/>
      <c r="G14" s="25"/>
    </row>
    <row r="15" spans="1:11">
      <c r="A15" s="18" t="s">
        <v>0</v>
      </c>
      <c r="B15" s="18" t="s">
        <v>1</v>
      </c>
      <c r="C15" s="18" t="s">
        <v>2</v>
      </c>
      <c r="D15" s="18" t="s">
        <v>41</v>
      </c>
      <c r="E15" s="18" t="s">
        <v>3</v>
      </c>
      <c r="F15" s="26" t="s">
        <v>4</v>
      </c>
      <c r="G15" s="26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19" t="s">
        <v>6</v>
      </c>
      <c r="G16" s="20"/>
    </row>
    <row r="17" spans="1:9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19" t="s">
        <v>5</v>
      </c>
      <c r="G17" s="20"/>
    </row>
    <row r="18" spans="1:9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19" t="s">
        <v>5</v>
      </c>
      <c r="G18" s="20"/>
    </row>
    <row r="19" spans="1:9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19" t="s">
        <v>7</v>
      </c>
      <c r="G19" s="20"/>
    </row>
    <row r="20" spans="1:9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19" t="s">
        <v>44</v>
      </c>
      <c r="G20" s="20"/>
    </row>
    <row r="21" spans="1:9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19" t="s">
        <v>8</v>
      </c>
      <c r="G21" s="20"/>
    </row>
    <row r="22" spans="1:9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19" t="s">
        <v>5</v>
      </c>
      <c r="G22" s="20"/>
    </row>
    <row r="23" spans="1:9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19" t="s">
        <v>5</v>
      </c>
      <c r="G23" s="20"/>
    </row>
    <row r="24" spans="1:9" ht="16" customHeight="1"/>
    <row r="25" spans="1:9" ht="18" customHeight="1"/>
    <row r="26" spans="1:9" ht="16" customHeight="1">
      <c r="D26" s="11"/>
      <c r="E26" s="11"/>
      <c r="F26" s="11"/>
      <c r="G26" s="11"/>
      <c r="H26" s="11"/>
      <c r="I26" s="11"/>
    </row>
    <row r="27" spans="1:9">
      <c r="D27" s="12"/>
      <c r="E27" s="12"/>
      <c r="F27" s="12"/>
      <c r="G27" s="12"/>
      <c r="H27" s="12"/>
      <c r="I27" s="12"/>
    </row>
    <row r="28" spans="1:9">
      <c r="D28" s="12"/>
      <c r="E28" s="12"/>
      <c r="F28" s="12"/>
      <c r="G28" s="12"/>
      <c r="H28" s="12"/>
      <c r="I28" s="12"/>
    </row>
    <row r="29" spans="1:9">
      <c r="D29" s="12"/>
      <c r="E29" s="12"/>
      <c r="F29" s="12"/>
      <c r="G29" s="12"/>
      <c r="H29" s="12"/>
      <c r="I29" s="12"/>
    </row>
    <row r="30" spans="1:9">
      <c r="D30" s="12"/>
      <c r="E30" s="12"/>
      <c r="F30" s="12"/>
      <c r="G30" s="12"/>
      <c r="H30" s="12"/>
      <c r="I30" s="12"/>
    </row>
    <row r="31" spans="1:9">
      <c r="D31" s="12"/>
      <c r="E31" s="12"/>
      <c r="F31" s="12"/>
      <c r="G31" s="12"/>
      <c r="H31" s="12"/>
      <c r="I31" s="12"/>
    </row>
    <row r="32" spans="1:9">
      <c r="D32" s="12"/>
      <c r="E32" s="12"/>
      <c r="F32" s="12"/>
      <c r="G32" s="12"/>
      <c r="H32" s="12"/>
      <c r="I32" s="12"/>
    </row>
    <row r="33" spans="4:9">
      <c r="D33" s="12"/>
      <c r="E33" s="12"/>
      <c r="F33" s="12"/>
      <c r="G33" s="12"/>
      <c r="H33" s="12"/>
      <c r="I33" s="12"/>
    </row>
    <row r="34" spans="4:9">
      <c r="D34" s="12"/>
      <c r="E34" s="12"/>
      <c r="F34" s="12"/>
      <c r="G34" s="12"/>
      <c r="H34" s="12"/>
      <c r="I34" s="12"/>
    </row>
  </sheetData>
  <mergeCells count="2">
    <mergeCell ref="F14:G14"/>
    <mergeCell ref="F15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A098-2E30-FB44-BF8F-BBAB6A08654A}">
  <dimension ref="A1:K26"/>
  <sheetViews>
    <sheetView zoomScale="75" zoomScaleNormal="90" workbookViewId="0">
      <selection activeCell="B4" sqref="B4"/>
    </sheetView>
  </sheetViews>
  <sheetFormatPr baseColWidth="10" defaultRowHeight="16"/>
  <cols>
    <col min="1" max="1" width="22.5" customWidth="1"/>
    <col min="2" max="2" width="22.83203125" customWidth="1"/>
    <col min="3" max="3" width="17.1640625" customWidth="1"/>
  </cols>
  <sheetData>
    <row r="1" spans="1:11" ht="17">
      <c r="A1" s="8"/>
      <c r="B1" s="9" t="s">
        <v>9</v>
      </c>
    </row>
    <row r="2" spans="1:11" ht="17">
      <c r="A2" s="2" t="s">
        <v>34</v>
      </c>
      <c r="B2" s="10">
        <f>B20</f>
        <v>400</v>
      </c>
    </row>
    <row r="3" spans="1:11" ht="17">
      <c r="A3" s="2" t="s">
        <v>35</v>
      </c>
      <c r="B3" s="10">
        <f>C20</f>
        <v>50</v>
      </c>
    </row>
    <row r="4" spans="1:11" ht="17">
      <c r="A4" s="2" t="s">
        <v>37</v>
      </c>
      <c r="B4" s="10">
        <f>D20</f>
        <v>1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'200-001'!B12*4+'200-002'!B12*2</f>
        <v>220</v>
      </c>
      <c r="C7" s="3">
        <f>'200-001'!C12*4+'200-002'!C12*2</f>
        <v>150</v>
      </c>
      <c r="D7" s="3">
        <f>'200-001'!D12*4+'200-002'!D12*2</f>
        <v>160</v>
      </c>
      <c r="E7" s="3">
        <f>'200-001'!E12*4+'200-002'!E12*2</f>
        <v>210</v>
      </c>
      <c r="F7" s="3">
        <f>'200-001'!F12*4+'200-002'!F12*2</f>
        <v>180</v>
      </c>
      <c r="G7" s="3">
        <f>'200-001'!G12*4+'200-002'!G12*2</f>
        <v>270</v>
      </c>
      <c r="H7" s="3">
        <f>'200-001'!H12*4+'200-002'!H12*2</f>
        <v>210</v>
      </c>
      <c r="I7" s="3">
        <f>'200-001'!I12*4+'200-002'!I12*2</f>
        <v>180</v>
      </c>
      <c r="J7" s="3">
        <f>'200-001'!J12*4+'200-002'!J12*2</f>
        <v>0</v>
      </c>
      <c r="K7" s="3">
        <f>'200-001'!K12*4+'200-002'!K12*2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180</v>
      </c>
      <c r="C9" s="3">
        <f>B11+C8-C7</f>
        <v>30</v>
      </c>
      <c r="D9" s="3">
        <f t="shared" ref="D9:K9" si="0">C11+D8-D7</f>
        <v>-110</v>
      </c>
      <c r="E9" s="3">
        <f t="shared" si="0"/>
        <v>-160</v>
      </c>
      <c r="F9" s="3">
        <f t="shared" si="0"/>
        <v>-130</v>
      </c>
      <c r="G9" s="3">
        <f t="shared" si="0"/>
        <v>-220</v>
      </c>
      <c r="H9" s="3">
        <f t="shared" si="0"/>
        <v>-160</v>
      </c>
      <c r="I9" s="3">
        <f t="shared" si="0"/>
        <v>-130</v>
      </c>
      <c r="J9" s="3">
        <f t="shared" si="0"/>
        <v>50</v>
      </c>
      <c r="K9" s="3">
        <f t="shared" si="0"/>
        <v>50</v>
      </c>
    </row>
    <row r="10" spans="1:11" ht="17">
      <c r="A10" s="7" t="s">
        <v>14</v>
      </c>
      <c r="B10" s="3">
        <f>MAXA(0,$B$3-B9)</f>
        <v>0</v>
      </c>
      <c r="C10" s="3">
        <f t="shared" ref="C10:K10" si="1">MAXA(0,$B$3-C9)</f>
        <v>20</v>
      </c>
      <c r="D10" s="3">
        <f t="shared" si="1"/>
        <v>160</v>
      </c>
      <c r="E10" s="3">
        <f t="shared" si="1"/>
        <v>210</v>
      </c>
      <c r="F10" s="3">
        <f t="shared" si="1"/>
        <v>180</v>
      </c>
      <c r="G10" s="3">
        <f t="shared" si="1"/>
        <v>270</v>
      </c>
      <c r="H10" s="3">
        <f t="shared" si="1"/>
        <v>210</v>
      </c>
      <c r="I10" s="3">
        <f t="shared" si="1"/>
        <v>180</v>
      </c>
      <c r="J10" s="3">
        <f t="shared" si="1"/>
        <v>0</v>
      </c>
      <c r="K10" s="3">
        <f t="shared" si="1"/>
        <v>0</v>
      </c>
    </row>
    <row r="11" spans="1:11" ht="17">
      <c r="A11" s="7" t="s">
        <v>15</v>
      </c>
      <c r="B11" s="1">
        <f>B9+B10</f>
        <v>180</v>
      </c>
      <c r="C11" s="1">
        <f t="shared" ref="C11:K11" si="2">C9+C10</f>
        <v>50</v>
      </c>
      <c r="D11" s="1">
        <f t="shared" si="2"/>
        <v>50</v>
      </c>
      <c r="E11" s="1">
        <f t="shared" si="2"/>
        <v>50</v>
      </c>
      <c r="F11" s="1">
        <f t="shared" si="2"/>
        <v>50</v>
      </c>
      <c r="G11" s="1">
        <f t="shared" si="2"/>
        <v>50</v>
      </c>
      <c r="H11" s="1">
        <f t="shared" si="2"/>
        <v>50</v>
      </c>
      <c r="I11" s="1">
        <f t="shared" si="2"/>
        <v>50</v>
      </c>
      <c r="J11" s="1">
        <f t="shared" si="2"/>
        <v>50</v>
      </c>
      <c r="K11" s="1">
        <f t="shared" si="2"/>
        <v>50</v>
      </c>
    </row>
    <row r="12" spans="1:11" ht="17">
      <c r="A12" s="7" t="s">
        <v>16</v>
      </c>
      <c r="B12" s="3">
        <f>B10+C10</f>
        <v>20</v>
      </c>
      <c r="C12" s="3">
        <f t="shared" ref="C12:J12" si="3">D10</f>
        <v>160</v>
      </c>
      <c r="D12" s="3">
        <f t="shared" si="3"/>
        <v>210</v>
      </c>
      <c r="E12" s="3">
        <f t="shared" si="3"/>
        <v>180</v>
      </c>
      <c r="F12" s="3">
        <f t="shared" si="3"/>
        <v>270</v>
      </c>
      <c r="G12" s="3">
        <f t="shared" si="3"/>
        <v>210</v>
      </c>
      <c r="H12" s="3">
        <f t="shared" si="3"/>
        <v>180</v>
      </c>
      <c r="I12" s="3">
        <f t="shared" si="3"/>
        <v>0</v>
      </c>
      <c r="J12" s="3">
        <f t="shared" si="3"/>
        <v>0</v>
      </c>
      <c r="K12" s="3">
        <f>M9</f>
        <v>0</v>
      </c>
    </row>
    <row r="13" spans="1:11" ht="17">
      <c r="A13" s="7" t="s">
        <v>47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17"/>
    </row>
    <row r="15" spans="1:11">
      <c r="A15" s="13" t="s">
        <v>0</v>
      </c>
      <c r="B15" s="13" t="s">
        <v>1</v>
      </c>
      <c r="C15" s="13" t="s">
        <v>2</v>
      </c>
      <c r="D15" s="13" t="s">
        <v>41</v>
      </c>
      <c r="E15" s="13" t="s">
        <v>3</v>
      </c>
      <c r="F15" s="24" t="s">
        <v>4</v>
      </c>
      <c r="G15" s="24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23" t="s">
        <v>6</v>
      </c>
      <c r="G16" s="23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23" t="s">
        <v>5</v>
      </c>
      <c r="G17" s="23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23" t="s">
        <v>5</v>
      </c>
      <c r="G18" s="23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23" t="s">
        <v>7</v>
      </c>
      <c r="G19" s="23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23" t="s">
        <v>44</v>
      </c>
      <c r="G20" s="23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23" t="s">
        <v>8</v>
      </c>
      <c r="G21" s="23"/>
    </row>
    <row r="22" spans="1:7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23" t="s">
        <v>5</v>
      </c>
      <c r="G22" s="23"/>
    </row>
    <row r="23" spans="1:7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23" t="s">
        <v>5</v>
      </c>
      <c r="G23" s="23"/>
    </row>
    <row r="24" spans="1:7" ht="16" customHeight="1"/>
    <row r="25" spans="1:7" ht="18" customHeight="1"/>
    <row r="26" spans="1:7" ht="16" customHeight="1"/>
  </sheetData>
  <mergeCells count="9">
    <mergeCell ref="F21:G21"/>
    <mergeCell ref="F22:G22"/>
    <mergeCell ref="F23:G23"/>
    <mergeCell ref="F15:G15"/>
    <mergeCell ref="F16:G16"/>
    <mergeCell ref="F17:G17"/>
    <mergeCell ref="F18:G18"/>
    <mergeCell ref="F19:G19"/>
    <mergeCell ref="F20:G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17F5-A6C6-3E4C-9A42-99747B405243}">
  <dimension ref="A1:K26"/>
  <sheetViews>
    <sheetView zoomScale="65" zoomScaleNormal="90" workbookViewId="0">
      <selection activeCell="B5" sqref="B5"/>
    </sheetView>
  </sheetViews>
  <sheetFormatPr baseColWidth="10" defaultRowHeight="16"/>
  <cols>
    <col min="1" max="1" width="26.1640625" customWidth="1"/>
    <col min="2" max="2" width="24" customWidth="1"/>
    <col min="3" max="3" width="20.1640625" customWidth="1"/>
    <col min="5" max="5" width="13.6640625" customWidth="1"/>
  </cols>
  <sheetData>
    <row r="1" spans="1:11" ht="17">
      <c r="A1" s="8"/>
      <c r="B1" s="9" t="s">
        <v>10</v>
      </c>
    </row>
    <row r="2" spans="1:11" ht="17">
      <c r="A2" s="2" t="s">
        <v>34</v>
      </c>
      <c r="B2" s="10">
        <f>B21</f>
        <v>40</v>
      </c>
    </row>
    <row r="3" spans="1:11" ht="17">
      <c r="A3" s="2" t="s">
        <v>35</v>
      </c>
      <c r="B3" s="10">
        <f>C21</f>
        <v>30</v>
      </c>
    </row>
    <row r="4" spans="1:11" ht="17">
      <c r="A4" s="2" t="s">
        <v>38</v>
      </c>
      <c r="B4" s="10">
        <f>D21</f>
        <v>2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'200-002'!B12</f>
        <v>0</v>
      </c>
      <c r="C7" s="3">
        <f>'200-002'!C12</f>
        <v>25</v>
      </c>
      <c r="D7" s="3">
        <f>'200-002'!D12</f>
        <v>0</v>
      </c>
      <c r="E7" s="3">
        <f>'200-002'!E12</f>
        <v>35</v>
      </c>
      <c r="F7" s="3">
        <f>'200-002'!F12</f>
        <v>30</v>
      </c>
      <c r="G7" s="3">
        <f>'200-002'!G12</f>
        <v>45</v>
      </c>
      <c r="H7" s="3">
        <f>'200-002'!H12</f>
        <v>35</v>
      </c>
      <c r="I7" s="3">
        <f>'200-002'!I12</f>
        <v>30</v>
      </c>
      <c r="J7" s="3">
        <f>'200-002'!J12</f>
        <v>0</v>
      </c>
      <c r="K7" s="3">
        <f>'200-002'!K12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40</v>
      </c>
      <c r="C9" s="3">
        <f>B11+C8-C7</f>
        <v>15</v>
      </c>
      <c r="D9" s="3">
        <f t="shared" ref="D9:K9" si="0">C11+D8-D7</f>
        <v>30</v>
      </c>
      <c r="E9" s="3">
        <f t="shared" si="0"/>
        <v>-5</v>
      </c>
      <c r="F9" s="3">
        <f t="shared" si="0"/>
        <v>0</v>
      </c>
      <c r="G9" s="3">
        <f t="shared" si="0"/>
        <v>-15</v>
      </c>
      <c r="H9" s="3">
        <f t="shared" si="0"/>
        <v>-5</v>
      </c>
      <c r="I9" s="3">
        <f t="shared" si="0"/>
        <v>0</v>
      </c>
      <c r="J9" s="3">
        <f t="shared" si="0"/>
        <v>30</v>
      </c>
      <c r="K9" s="3">
        <f t="shared" si="0"/>
        <v>30</v>
      </c>
    </row>
    <row r="10" spans="1:11" ht="17">
      <c r="A10" s="7" t="s">
        <v>14</v>
      </c>
      <c r="B10" s="3">
        <f>MAXA(0,$B$3-B9)</f>
        <v>0</v>
      </c>
      <c r="C10" s="3">
        <f t="shared" ref="C10:K10" si="1">MAXA(0,$B$3-C9)</f>
        <v>15</v>
      </c>
      <c r="D10" s="3">
        <f t="shared" si="1"/>
        <v>0</v>
      </c>
      <c r="E10" s="3">
        <f t="shared" si="1"/>
        <v>35</v>
      </c>
      <c r="F10" s="3">
        <f t="shared" si="1"/>
        <v>30</v>
      </c>
      <c r="G10" s="3">
        <f t="shared" si="1"/>
        <v>45</v>
      </c>
      <c r="H10" s="3">
        <f t="shared" si="1"/>
        <v>35</v>
      </c>
      <c r="I10" s="3">
        <f t="shared" si="1"/>
        <v>30</v>
      </c>
      <c r="J10" s="3">
        <f t="shared" si="1"/>
        <v>0</v>
      </c>
      <c r="K10" s="3">
        <f t="shared" si="1"/>
        <v>0</v>
      </c>
    </row>
    <row r="11" spans="1:11" ht="17">
      <c r="A11" s="7" t="s">
        <v>15</v>
      </c>
      <c r="B11" s="1">
        <f>B9+B10</f>
        <v>40</v>
      </c>
      <c r="C11" s="1">
        <f t="shared" ref="C11:K11" si="2">C9+C10</f>
        <v>30</v>
      </c>
      <c r="D11" s="1">
        <f t="shared" si="2"/>
        <v>30</v>
      </c>
      <c r="E11" s="1">
        <f t="shared" si="2"/>
        <v>30</v>
      </c>
      <c r="F11" s="1">
        <f t="shared" si="2"/>
        <v>30</v>
      </c>
      <c r="G11" s="1">
        <f t="shared" si="2"/>
        <v>30</v>
      </c>
      <c r="H11" s="1">
        <f t="shared" si="2"/>
        <v>30</v>
      </c>
      <c r="I11" s="1">
        <f t="shared" si="2"/>
        <v>30</v>
      </c>
      <c r="J11" s="1">
        <f t="shared" si="2"/>
        <v>30</v>
      </c>
      <c r="K11" s="1">
        <f t="shared" si="2"/>
        <v>30</v>
      </c>
    </row>
    <row r="12" spans="1:11" ht="17">
      <c r="A12" s="7" t="s">
        <v>16</v>
      </c>
      <c r="B12" s="3">
        <f>B10+C10+D10</f>
        <v>15</v>
      </c>
      <c r="C12" s="3">
        <f t="shared" ref="C12:I12" si="3">E10</f>
        <v>35</v>
      </c>
      <c r="D12" s="3">
        <f t="shared" si="3"/>
        <v>30</v>
      </c>
      <c r="E12" s="3">
        <f t="shared" si="3"/>
        <v>45</v>
      </c>
      <c r="F12" s="3">
        <f t="shared" si="3"/>
        <v>35</v>
      </c>
      <c r="G12" s="3">
        <f t="shared" si="3"/>
        <v>30</v>
      </c>
      <c r="H12" s="3">
        <f t="shared" si="3"/>
        <v>0</v>
      </c>
      <c r="I12" s="3">
        <f t="shared" si="3"/>
        <v>0</v>
      </c>
      <c r="J12" s="3">
        <f>M9</f>
        <v>0</v>
      </c>
      <c r="K12" s="3">
        <f>N9</f>
        <v>0</v>
      </c>
    </row>
    <row r="13" spans="1:11" ht="17">
      <c r="A13" s="7" t="s">
        <v>47</v>
      </c>
      <c r="B13" s="3"/>
      <c r="C13" s="3" t="s">
        <v>50</v>
      </c>
      <c r="D13" s="3"/>
      <c r="E13" s="3"/>
      <c r="F13" s="3"/>
      <c r="G13" s="3"/>
      <c r="H13" s="3"/>
      <c r="I13" s="3"/>
      <c r="J13" s="3"/>
      <c r="K13" s="3"/>
    </row>
    <row r="15" spans="1:11">
      <c r="A15" s="13" t="s">
        <v>0</v>
      </c>
      <c r="B15" s="13" t="s">
        <v>1</v>
      </c>
      <c r="C15" s="13" t="s">
        <v>2</v>
      </c>
      <c r="D15" s="13" t="s">
        <v>41</v>
      </c>
      <c r="E15" s="13" t="s">
        <v>3</v>
      </c>
      <c r="F15" s="24" t="s">
        <v>4</v>
      </c>
      <c r="G15" s="24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23" t="s">
        <v>6</v>
      </c>
      <c r="G16" s="23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23" t="s">
        <v>5</v>
      </c>
      <c r="G17" s="23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23" t="s">
        <v>5</v>
      </c>
      <c r="G18" s="23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23" t="s">
        <v>7</v>
      </c>
      <c r="G19" s="23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23" t="s">
        <v>44</v>
      </c>
      <c r="G20" s="23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23" t="s">
        <v>8</v>
      </c>
      <c r="G21" s="23"/>
    </row>
    <row r="22" spans="1:7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23" t="s">
        <v>5</v>
      </c>
      <c r="G22" s="23"/>
    </row>
    <row r="23" spans="1:7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23" t="s">
        <v>5</v>
      </c>
      <c r="G23" s="23"/>
    </row>
    <row r="24" spans="1:7" ht="16" customHeight="1"/>
    <row r="25" spans="1:7" ht="18" customHeight="1"/>
    <row r="26" spans="1:7" ht="16" customHeight="1"/>
  </sheetData>
  <mergeCells count="9">
    <mergeCell ref="F22:G22"/>
    <mergeCell ref="F23:G23"/>
    <mergeCell ref="F15:G15"/>
    <mergeCell ref="F16:G16"/>
    <mergeCell ref="F17:G17"/>
    <mergeCell ref="F18:G18"/>
    <mergeCell ref="F19:G19"/>
    <mergeCell ref="F20:G20"/>
    <mergeCell ref="F21:G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E22E-7E38-C641-B7E4-B2C589073067}">
  <dimension ref="A1:K26"/>
  <sheetViews>
    <sheetView zoomScale="75" zoomScaleNormal="90" workbookViewId="0">
      <selection activeCell="B3" sqref="B3"/>
    </sheetView>
  </sheetViews>
  <sheetFormatPr baseColWidth="10" defaultRowHeight="16"/>
  <cols>
    <col min="1" max="1" width="26.1640625" customWidth="1"/>
    <col min="2" max="2" width="24" customWidth="1"/>
    <col min="3" max="3" width="17.1640625" customWidth="1"/>
    <col min="5" max="5" width="13.6640625" customWidth="1"/>
  </cols>
  <sheetData>
    <row r="1" spans="1:11" ht="17">
      <c r="A1" s="8"/>
      <c r="B1" s="9" t="s">
        <v>40</v>
      </c>
    </row>
    <row r="2" spans="1:11" ht="17">
      <c r="A2" s="2" t="s">
        <v>34</v>
      </c>
      <c r="B2" s="10">
        <f>B22</f>
        <v>300</v>
      </c>
    </row>
    <row r="3" spans="1:11" ht="17">
      <c r="A3" s="2" t="s">
        <v>35</v>
      </c>
      <c r="B3" s="10">
        <f>C22</f>
        <v>30</v>
      </c>
    </row>
    <row r="4" spans="1:11" ht="17">
      <c r="A4" s="2" t="s">
        <v>38</v>
      </c>
      <c r="B4" s="10">
        <f>D22</f>
        <v>1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'100-001'!B12*5</f>
        <v>225</v>
      </c>
      <c r="C7" s="3">
        <f>'100-001'!C12*5</f>
        <v>175</v>
      </c>
      <c r="D7" s="3">
        <f>'100-001'!D12*5</f>
        <v>125</v>
      </c>
      <c r="E7" s="3">
        <f>'100-001'!E12*5</f>
        <v>200</v>
      </c>
      <c r="F7" s="3">
        <f>'100-001'!F12*5</f>
        <v>175</v>
      </c>
      <c r="G7" s="3">
        <f>'100-001'!G12*5</f>
        <v>150</v>
      </c>
      <c r="H7" s="3">
        <f>'100-001'!H12*5</f>
        <v>225</v>
      </c>
      <c r="I7" s="3">
        <f>'100-001'!I12*5</f>
        <v>175</v>
      </c>
      <c r="J7" s="3">
        <f>'100-001'!J12*5</f>
        <v>150</v>
      </c>
      <c r="K7" s="3">
        <f>'100-001'!K12*5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75</v>
      </c>
      <c r="C9" s="3">
        <f>B11+C8-C7</f>
        <v>-100</v>
      </c>
      <c r="D9" s="3">
        <f t="shared" ref="D9:K9" si="0">C11+D8-D7</f>
        <v>-95</v>
      </c>
      <c r="E9" s="3">
        <f t="shared" si="0"/>
        <v>-170</v>
      </c>
      <c r="F9" s="3">
        <f t="shared" si="0"/>
        <v>-145</v>
      </c>
      <c r="G9" s="3">
        <f t="shared" si="0"/>
        <v>-120</v>
      </c>
      <c r="H9" s="3">
        <f t="shared" si="0"/>
        <v>-195</v>
      </c>
      <c r="I9" s="3">
        <f t="shared" si="0"/>
        <v>-145</v>
      </c>
      <c r="J9" s="3">
        <f t="shared" si="0"/>
        <v>-120</v>
      </c>
      <c r="K9" s="3">
        <f t="shared" si="0"/>
        <v>30</v>
      </c>
    </row>
    <row r="10" spans="1:11" ht="17">
      <c r="A10" s="7" t="s">
        <v>14</v>
      </c>
      <c r="B10" s="3">
        <f>MAXA(0,$B$3-B9)</f>
        <v>0</v>
      </c>
      <c r="C10" s="3">
        <f t="shared" ref="C10:K10" si="1">MAXA(0,$B$3-C9)</f>
        <v>130</v>
      </c>
      <c r="D10" s="3">
        <f t="shared" si="1"/>
        <v>125</v>
      </c>
      <c r="E10" s="3">
        <f t="shared" si="1"/>
        <v>200</v>
      </c>
      <c r="F10" s="3">
        <f t="shared" si="1"/>
        <v>175</v>
      </c>
      <c r="G10" s="3">
        <f t="shared" si="1"/>
        <v>150</v>
      </c>
      <c r="H10" s="3">
        <f t="shared" si="1"/>
        <v>225</v>
      </c>
      <c r="I10" s="3">
        <f t="shared" si="1"/>
        <v>175</v>
      </c>
      <c r="J10" s="3">
        <f t="shared" si="1"/>
        <v>150</v>
      </c>
      <c r="K10" s="3">
        <f t="shared" si="1"/>
        <v>0</v>
      </c>
    </row>
    <row r="11" spans="1:11" ht="17">
      <c r="A11" s="7" t="s">
        <v>15</v>
      </c>
      <c r="B11" s="1">
        <f>B9+B10</f>
        <v>75</v>
      </c>
      <c r="C11" s="1">
        <f t="shared" ref="C11:K11" si="2">C9+C10</f>
        <v>30</v>
      </c>
      <c r="D11" s="1">
        <f t="shared" si="2"/>
        <v>30</v>
      </c>
      <c r="E11" s="1">
        <f t="shared" si="2"/>
        <v>30</v>
      </c>
      <c r="F11" s="1">
        <f t="shared" si="2"/>
        <v>30</v>
      </c>
      <c r="G11" s="1">
        <f t="shared" si="2"/>
        <v>30</v>
      </c>
      <c r="H11" s="1">
        <f t="shared" si="2"/>
        <v>30</v>
      </c>
      <c r="I11" s="1">
        <f t="shared" si="2"/>
        <v>30</v>
      </c>
      <c r="J11" s="1">
        <f t="shared" si="2"/>
        <v>30</v>
      </c>
      <c r="K11" s="1">
        <f t="shared" si="2"/>
        <v>30</v>
      </c>
    </row>
    <row r="12" spans="1:11" ht="17">
      <c r="A12" s="7" t="s">
        <v>16</v>
      </c>
      <c r="B12" s="3">
        <f>B10+C10</f>
        <v>130</v>
      </c>
      <c r="C12" s="3">
        <f>D10</f>
        <v>125</v>
      </c>
      <c r="D12" s="3">
        <f t="shared" ref="D12:K12" si="3">E10</f>
        <v>200</v>
      </c>
      <c r="E12" s="3">
        <f t="shared" si="3"/>
        <v>175</v>
      </c>
      <c r="F12" s="3">
        <f t="shared" si="3"/>
        <v>150</v>
      </c>
      <c r="G12" s="3">
        <f t="shared" si="3"/>
        <v>225</v>
      </c>
      <c r="H12" s="3">
        <f t="shared" si="3"/>
        <v>175</v>
      </c>
      <c r="I12" s="3">
        <f t="shared" si="3"/>
        <v>150</v>
      </c>
      <c r="J12" s="3">
        <f t="shared" si="3"/>
        <v>0</v>
      </c>
      <c r="K12" s="3">
        <f t="shared" si="3"/>
        <v>0</v>
      </c>
    </row>
    <row r="13" spans="1:11" ht="17">
      <c r="A13" s="21" t="s">
        <v>47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5" spans="1:11">
      <c r="A15" s="13" t="s">
        <v>0</v>
      </c>
      <c r="B15" s="13" t="s">
        <v>1</v>
      </c>
      <c r="C15" s="13" t="s">
        <v>2</v>
      </c>
      <c r="D15" s="13" t="s">
        <v>41</v>
      </c>
      <c r="E15" s="13" t="s">
        <v>3</v>
      </c>
      <c r="F15" s="24" t="s">
        <v>4</v>
      </c>
      <c r="G15" s="24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23" t="s">
        <v>6</v>
      </c>
      <c r="G16" s="23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23" t="s">
        <v>5</v>
      </c>
      <c r="G17" s="23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23" t="s">
        <v>5</v>
      </c>
      <c r="G18" s="23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23" t="s">
        <v>7</v>
      </c>
      <c r="G19" s="23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23" t="s">
        <v>44</v>
      </c>
      <c r="G20" s="23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23" t="s">
        <v>8</v>
      </c>
      <c r="G21" s="23"/>
    </row>
    <row r="22" spans="1:7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23" t="s">
        <v>5</v>
      </c>
      <c r="G22" s="23"/>
    </row>
    <row r="23" spans="1:7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23" t="s">
        <v>5</v>
      </c>
      <c r="G23" s="23"/>
    </row>
    <row r="24" spans="1:7" ht="16" customHeight="1"/>
    <row r="25" spans="1:7" ht="18" customHeight="1"/>
    <row r="26" spans="1:7" ht="16" customHeight="1"/>
  </sheetData>
  <mergeCells count="9">
    <mergeCell ref="F21:G21"/>
    <mergeCell ref="F22:G22"/>
    <mergeCell ref="F23:G23"/>
    <mergeCell ref="F15:G15"/>
    <mergeCell ref="F16:G16"/>
    <mergeCell ref="F17:G17"/>
    <mergeCell ref="F18:G18"/>
    <mergeCell ref="F19:G19"/>
    <mergeCell ref="F20:G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6ED2-BF04-F546-942E-B0D6BFF77AB0}">
  <dimension ref="A1:K26"/>
  <sheetViews>
    <sheetView tabSelected="1" zoomScale="81" zoomScaleNormal="90" workbookViewId="0">
      <selection activeCell="B2" sqref="B2"/>
    </sheetView>
  </sheetViews>
  <sheetFormatPr baseColWidth="10" defaultRowHeight="16"/>
  <cols>
    <col min="1" max="1" width="26.1640625" customWidth="1"/>
    <col min="2" max="2" width="24" customWidth="1"/>
    <col min="3" max="3" width="17.1640625" customWidth="1"/>
    <col min="5" max="5" width="13.6640625" customWidth="1"/>
  </cols>
  <sheetData>
    <row r="1" spans="1:11" ht="17">
      <c r="A1" s="8"/>
      <c r="B1" s="9" t="s">
        <v>45</v>
      </c>
    </row>
    <row r="2" spans="1:11" ht="17">
      <c r="A2" s="2" t="s">
        <v>34</v>
      </c>
      <c r="B2" s="10">
        <f>B23</f>
        <v>400</v>
      </c>
    </row>
    <row r="3" spans="1:11" ht="17">
      <c r="A3" s="2" t="s">
        <v>35</v>
      </c>
      <c r="B3" s="10">
        <f>C23</f>
        <v>10</v>
      </c>
    </row>
    <row r="4" spans="1:11" ht="17">
      <c r="A4" s="2" t="s">
        <v>38</v>
      </c>
      <c r="B4" s="10">
        <f>D23</f>
        <v>12</v>
      </c>
    </row>
    <row r="6" spans="1:11" ht="17">
      <c r="A6" s="7" t="s">
        <v>29</v>
      </c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1:11" ht="17">
      <c r="A7" s="7" t="s">
        <v>11</v>
      </c>
      <c r="B7" s="3">
        <f>'100-001'!B12</f>
        <v>45</v>
      </c>
      <c r="C7" s="3">
        <f>'100-001'!C12</f>
        <v>35</v>
      </c>
      <c r="D7" s="3">
        <f>'100-001'!D12</f>
        <v>25</v>
      </c>
      <c r="E7" s="3">
        <f>'100-001'!E12</f>
        <v>40</v>
      </c>
      <c r="F7" s="3">
        <f>'100-001'!F12</f>
        <v>35</v>
      </c>
      <c r="G7" s="3">
        <f>'100-001'!G12</f>
        <v>30</v>
      </c>
      <c r="H7" s="3">
        <f>'100-001'!H12</f>
        <v>45</v>
      </c>
      <c r="I7" s="3">
        <f>'100-001'!I12</f>
        <v>35</v>
      </c>
      <c r="J7" s="3">
        <f>'100-001'!J12</f>
        <v>30</v>
      </c>
      <c r="K7" s="3">
        <f>'100-001'!K12</f>
        <v>0</v>
      </c>
    </row>
    <row r="8" spans="1:11" ht="17">
      <c r="A8" s="7" t="s">
        <v>46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7">
      <c r="A9" s="7" t="s">
        <v>13</v>
      </c>
      <c r="B9" s="3">
        <f>$B$2+B8-B7</f>
        <v>355</v>
      </c>
      <c r="C9" s="3">
        <f>B11+C8-C7</f>
        <v>320</v>
      </c>
      <c r="D9" s="3">
        <f t="shared" ref="D9:K9" si="0">C11+D8-D7</f>
        <v>295</v>
      </c>
      <c r="E9" s="3">
        <f t="shared" si="0"/>
        <v>255</v>
      </c>
      <c r="F9" s="3">
        <f t="shared" si="0"/>
        <v>220</v>
      </c>
      <c r="G9" s="3">
        <f t="shared" si="0"/>
        <v>190</v>
      </c>
      <c r="H9" s="3">
        <f t="shared" si="0"/>
        <v>145</v>
      </c>
      <c r="I9" s="3">
        <f t="shared" si="0"/>
        <v>110</v>
      </c>
      <c r="J9" s="3">
        <f t="shared" si="0"/>
        <v>80</v>
      </c>
      <c r="K9" s="3">
        <f t="shared" si="0"/>
        <v>80</v>
      </c>
    </row>
    <row r="10" spans="1:11" ht="17">
      <c r="A10" s="7" t="s">
        <v>14</v>
      </c>
      <c r="B10" s="3">
        <f>MAXA(0,$B$3-B9)</f>
        <v>0</v>
      </c>
      <c r="C10" s="3">
        <f t="shared" ref="C10:K10" si="1">MAXA(0,$B$3-C9)</f>
        <v>0</v>
      </c>
      <c r="D10" s="3">
        <f t="shared" si="1"/>
        <v>0</v>
      </c>
      <c r="E10" s="3">
        <f t="shared" si="1"/>
        <v>0</v>
      </c>
      <c r="F10" s="3">
        <f t="shared" si="1"/>
        <v>0</v>
      </c>
      <c r="G10" s="3">
        <f t="shared" si="1"/>
        <v>0</v>
      </c>
      <c r="H10" s="3">
        <f t="shared" si="1"/>
        <v>0</v>
      </c>
      <c r="I10" s="3">
        <f t="shared" si="1"/>
        <v>0</v>
      </c>
      <c r="J10" s="3">
        <f t="shared" si="1"/>
        <v>0</v>
      </c>
      <c r="K10" s="3">
        <f t="shared" si="1"/>
        <v>0</v>
      </c>
    </row>
    <row r="11" spans="1:11" ht="17">
      <c r="A11" s="7" t="s">
        <v>15</v>
      </c>
      <c r="B11" s="1">
        <f>B9+B10</f>
        <v>355</v>
      </c>
      <c r="C11" s="1">
        <f t="shared" ref="C11:K11" si="2">C9+C10</f>
        <v>320</v>
      </c>
      <c r="D11" s="1">
        <f t="shared" si="2"/>
        <v>295</v>
      </c>
      <c r="E11" s="1">
        <f t="shared" si="2"/>
        <v>255</v>
      </c>
      <c r="F11" s="1">
        <f t="shared" si="2"/>
        <v>220</v>
      </c>
      <c r="G11" s="1">
        <f t="shared" si="2"/>
        <v>190</v>
      </c>
      <c r="H11" s="1">
        <f t="shared" si="2"/>
        <v>145</v>
      </c>
      <c r="I11" s="1">
        <f t="shared" si="2"/>
        <v>110</v>
      </c>
      <c r="J11" s="1">
        <f t="shared" si="2"/>
        <v>80</v>
      </c>
      <c r="K11" s="1">
        <f t="shared" si="2"/>
        <v>80</v>
      </c>
    </row>
    <row r="12" spans="1:11" ht="17">
      <c r="A12" s="7" t="s">
        <v>16</v>
      </c>
      <c r="B12" s="3">
        <f>SUM(B10:K10)</f>
        <v>0</v>
      </c>
      <c r="C12" s="3">
        <f t="shared" ref="C12:K12" si="3">SUM(C10:L10)</f>
        <v>0</v>
      </c>
      <c r="D12" s="3">
        <f t="shared" si="3"/>
        <v>0</v>
      </c>
      <c r="E12" s="3">
        <f t="shared" si="3"/>
        <v>0</v>
      </c>
      <c r="F12" s="3">
        <f t="shared" si="3"/>
        <v>0</v>
      </c>
      <c r="G12" s="3">
        <f t="shared" si="3"/>
        <v>0</v>
      </c>
      <c r="H12" s="3">
        <f t="shared" si="3"/>
        <v>0</v>
      </c>
      <c r="I12" s="3">
        <f t="shared" si="3"/>
        <v>0</v>
      </c>
      <c r="J12" s="3">
        <f t="shared" si="3"/>
        <v>0</v>
      </c>
      <c r="K12" s="3">
        <f t="shared" si="3"/>
        <v>0</v>
      </c>
    </row>
    <row r="13" spans="1:11" ht="17">
      <c r="A13" s="21" t="s">
        <v>47</v>
      </c>
      <c r="B13" s="22" t="s">
        <v>51</v>
      </c>
      <c r="C13" s="22"/>
      <c r="D13" s="22"/>
      <c r="E13" s="22"/>
      <c r="F13" s="22"/>
      <c r="G13" s="22"/>
      <c r="H13" s="22"/>
      <c r="I13" s="22"/>
      <c r="J13" s="22"/>
      <c r="K13" s="22"/>
    </row>
    <row r="15" spans="1:11">
      <c r="A15" s="13" t="s">
        <v>0</v>
      </c>
      <c r="B15" s="13" t="s">
        <v>1</v>
      </c>
      <c r="C15" s="13" t="s">
        <v>2</v>
      </c>
      <c r="D15" s="13" t="s">
        <v>41</v>
      </c>
      <c r="E15" s="13" t="s">
        <v>3</v>
      </c>
      <c r="F15" s="24" t="s">
        <v>4</v>
      </c>
      <c r="G15" s="24"/>
    </row>
    <row r="16" spans="1:11">
      <c r="A16" s="15" t="s">
        <v>5</v>
      </c>
      <c r="B16" s="14">
        <v>20</v>
      </c>
      <c r="C16" s="14">
        <v>5</v>
      </c>
      <c r="D16" s="14">
        <v>1</v>
      </c>
      <c r="E16" s="14" t="s">
        <v>6</v>
      </c>
      <c r="F16" s="23" t="s">
        <v>6</v>
      </c>
      <c r="G16" s="23"/>
    </row>
    <row r="17" spans="1:7">
      <c r="A17" s="15" t="s">
        <v>7</v>
      </c>
      <c r="B17" s="14">
        <v>30</v>
      </c>
      <c r="C17" s="14">
        <v>5</v>
      </c>
      <c r="D17" s="14">
        <v>1</v>
      </c>
      <c r="E17" s="14">
        <v>1</v>
      </c>
      <c r="F17" s="23" t="s">
        <v>5</v>
      </c>
      <c r="G17" s="23"/>
    </row>
    <row r="18" spans="1:7">
      <c r="A18" s="15" t="s">
        <v>8</v>
      </c>
      <c r="B18" s="14">
        <v>85</v>
      </c>
      <c r="C18" s="14">
        <v>5</v>
      </c>
      <c r="D18" s="14">
        <v>1</v>
      </c>
      <c r="E18" s="14">
        <v>1</v>
      </c>
      <c r="F18" s="23" t="s">
        <v>5</v>
      </c>
      <c r="G18" s="23"/>
    </row>
    <row r="19" spans="1:7">
      <c r="A19" s="15" t="s">
        <v>39</v>
      </c>
      <c r="B19" s="14">
        <v>120</v>
      </c>
      <c r="C19" s="14">
        <v>10</v>
      </c>
      <c r="D19" s="14">
        <v>2</v>
      </c>
      <c r="E19" s="14">
        <v>1</v>
      </c>
      <c r="F19" s="23" t="s">
        <v>7</v>
      </c>
      <c r="G19" s="23"/>
    </row>
    <row r="20" spans="1:7" ht="18" customHeight="1">
      <c r="A20" s="15" t="s">
        <v>42</v>
      </c>
      <c r="B20" s="14">
        <v>400</v>
      </c>
      <c r="C20" s="14">
        <v>50</v>
      </c>
      <c r="D20" s="14">
        <v>1</v>
      </c>
      <c r="E20" s="14" t="s">
        <v>43</v>
      </c>
      <c r="F20" s="23" t="s">
        <v>44</v>
      </c>
      <c r="G20" s="23"/>
    </row>
    <row r="21" spans="1:7" ht="21" customHeight="1">
      <c r="A21" s="15" t="s">
        <v>10</v>
      </c>
      <c r="B21" s="14">
        <v>40</v>
      </c>
      <c r="C21" s="14">
        <v>30</v>
      </c>
      <c r="D21" s="14">
        <v>2</v>
      </c>
      <c r="E21" s="14">
        <v>1</v>
      </c>
      <c r="F21" s="23" t="s">
        <v>8</v>
      </c>
      <c r="G21" s="23"/>
    </row>
    <row r="22" spans="1:7">
      <c r="A22" s="15" t="s">
        <v>40</v>
      </c>
      <c r="B22" s="14">
        <v>300</v>
      </c>
      <c r="C22" s="14">
        <v>30</v>
      </c>
      <c r="D22" s="14">
        <v>1</v>
      </c>
      <c r="E22" s="14">
        <v>5</v>
      </c>
      <c r="F22" s="23" t="s">
        <v>5</v>
      </c>
      <c r="G22" s="23"/>
    </row>
    <row r="23" spans="1:7">
      <c r="A23" s="15" t="s">
        <v>45</v>
      </c>
      <c r="B23" s="14">
        <v>400</v>
      </c>
      <c r="C23" s="14">
        <v>10</v>
      </c>
      <c r="D23" s="14">
        <v>12</v>
      </c>
      <c r="E23" s="14">
        <v>1</v>
      </c>
      <c r="F23" s="23" t="s">
        <v>5</v>
      </c>
      <c r="G23" s="23"/>
    </row>
    <row r="24" spans="1:7" ht="16" customHeight="1"/>
    <row r="25" spans="1:7" ht="18" customHeight="1"/>
    <row r="26" spans="1:7" ht="16" customHeight="1"/>
  </sheetData>
  <mergeCells count="9">
    <mergeCell ref="F21:G21"/>
    <mergeCell ref="F22:G22"/>
    <mergeCell ref="F23:G23"/>
    <mergeCell ref="F15:G15"/>
    <mergeCell ref="F16:G16"/>
    <mergeCell ref="F17:G17"/>
    <mergeCell ref="F18:G18"/>
    <mergeCell ref="F19:G19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Forklaring</vt:lpstr>
      <vt:lpstr>100-001</vt:lpstr>
      <vt:lpstr>200-001</vt:lpstr>
      <vt:lpstr>200-002</vt:lpstr>
      <vt:lpstr>300-001</vt:lpstr>
      <vt:lpstr>300-002</vt:lpstr>
      <vt:lpstr>300-003</vt:lpstr>
      <vt:lpstr>300-004 </vt:lpstr>
      <vt:lpstr>300-005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Kolstad</dc:creator>
  <cp:lastModifiedBy>Carmen Kolstad</cp:lastModifiedBy>
  <dcterms:created xsi:type="dcterms:W3CDTF">2026-10-23T17:28:19Z</dcterms:created>
  <dcterms:modified xsi:type="dcterms:W3CDTF">2026-10-23T23:27:34Z</dcterms:modified>
</cp:coreProperties>
</file>