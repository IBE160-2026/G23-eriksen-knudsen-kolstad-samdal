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private/tmp/claude-501/-Users-carmenkolstad-Desktop-G23-eriksen-knudsen-kolstad-samdal/9a8126fc-f80f-47ae-b93c-1111d5f3f2e7/scratchpad/fremdrift/"/>
    </mc:Choice>
  </mc:AlternateContent>
  <xr:revisionPtr revIDLastSave="0" documentId="13_ncr:1_{D785BE2B-C614-4B4A-9397-18A9E51585D1}" xr6:coauthVersionLast="47" xr6:coauthVersionMax="47" xr10:uidLastSave="{00000000-0000-0000-0000-000000000000}"/>
  <bookViews>
    <workbookView xWindow="2160" yWindow="2160" windowWidth="14400" windowHeight="8180" xr2:uid="{C2F7DFDB-E4CD-4DC4-AEE3-52FDC76949EA}"/>
  </bookViews>
  <sheets>
    <sheet name="Fremdriftsplan" sheetId="1" r:id="rId1"/>
    <sheet name="Tilbakemelding" sheetId="2" r:id="rId2"/>
  </sheets>
  <definedNames>
    <definedName name="_xlnm.Print_Titles" localSheetId="0">Fremdriftsplan!$4:$4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9" i="1" l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</calcChain>
</file>

<file path=xl/sharedStrings.xml><?xml version="1.0" encoding="utf-8"?>
<sst xmlns="http://schemas.openxmlformats.org/spreadsheetml/2006/main" count="125" uniqueCount="102">
  <si>
    <t>Fremdriftsplan – COSI MRP (IBE160)</t>
  </si>
  <si>
    <t>Dag 0 (brief godkjent):</t>
  </si>
  <si>
    <t>← Skriv inn datoen briefen blir godkjent. Da regnes start- og sluttdato ut automatisk. Status velges fra liste i kolonne K.</t>
  </si>
  <si>
    <t>Før dag 0: Oppdater briefen med de fire første punktene i arket «Tilbakemelding» og få den godkjent.</t>
  </si>
  <si>
    <t>Nr</t>
  </si>
  <si>
    <t>Aktivitet</t>
  </si>
  <si>
    <t>Beskrivelse</t>
  </si>
  <si>
    <t>Start (dag)</t>
  </si>
  <si>
    <t>Slutt (dag)</t>
  </si>
  <si>
    <t>Varighet (dager)</t>
  </si>
  <si>
    <t>Startdato</t>
  </si>
  <si>
    <t>Sluttdato</t>
  </si>
  <si>
    <t>Ferdig når</t>
  </si>
  <si>
    <t>Ansvarlig</t>
  </si>
  <si>
    <t>Status</t>
  </si>
  <si>
    <t>Testeksempel og fasit</t>
  </si>
  <si>
    <t>Lag testeksempelet med fasittabell for hånd: 5–10 komponenter, 8–12 uker, kjente avvik, grensetilfeller og én MPS-endring. Rydd repoet.</t>
  </si>
  <si>
    <t>Fasittabellen er sjekket av to på gruppa.</t>
  </si>
  <si>
    <t>Ikke startet</t>
  </si>
  <si>
    <t>PRD</t>
  </si>
  <si>
    <t>PRD med BMAD, inkludert skisse av resultattabell og før/etter-visning.</t>
  </si>
  <si>
    <t>PRD er godkjent i gruppa og ligger i .docs.</t>
  </si>
  <si>
    <t>Arkitektur</t>
  </si>
  <si>
    <t>Arkitektur med teknologivalg (f.eks. Python med pandas/openpyxl). Motor, innlesing og visning er adskilt.</t>
  </si>
  <si>
    <t>Arkitekturen er godkjent.</t>
  </si>
  <si>
    <t>Epics og stories</t>
  </si>
  <si>
    <t>Del PRD-en opp i epics og stories.</t>
  </si>
  <si>
    <t>Alle stories har akseptkriterier.</t>
  </si>
  <si>
    <t>Epic 1: Excel-mal og validering</t>
  </si>
  <si>
    <t>Excel-mal, innlesing og validering med feilmeldinger som viser ark, rad og kolonne.</t>
  </si>
  <si>
    <t>Alle valideringsregler fra addendumet er testet.</t>
  </si>
  <si>
    <t>Epic 2: Beregningsmotor</t>
  </si>
  <si>
    <t>Bruttobehov, beholdning, nettobehov, mottak og frigivelser. Kan gå parallelt med Epic 1.</t>
  </si>
  <si>
    <t>100 % samsvar med fasit.</t>
  </si>
  <si>
    <t>Epic 3: Eksepsjonsmeldinger</t>
  </si>
  <si>
    <t>Varsler for under sikkerhetslager, forsinket bestilling og innkjøpstid som overskrider horisonten.</t>
  </si>
  <si>
    <t>Riktig varsel i alle kjente avvik, uten falske varsler.</t>
  </si>
  <si>
    <t>Epic 4: Resultattabell</t>
  </si>
  <si>
    <t>Resultattabell der varsler og kritiske komponenter er fremhevet.</t>
  </si>
  <si>
    <t>Hele flyten virker: last opp → valider → beregn → vis.</t>
  </si>
  <si>
    <t>MILEPÆL: Kjerneflyt ferdig</t>
  </si>
  <si>
    <t>Kjerneflyten er ferdig og stabil.</t>
  </si>
  <si>
    <t>Vurder om dere har tid til utvidelsen.</t>
  </si>
  <si>
    <t>Epic 5: Endring midtveis</t>
  </si>
  <si>
    <t>Endring midtveis med før/etter-visning.</t>
  </si>
  <si>
    <t>MPS-endringen i testeksempelet gir riktig resultat.</t>
  </si>
  <si>
    <t>Brukertest</t>
  </si>
  <si>
    <t>Brukertest med 3 personer, og retting etterpå.</t>
  </si>
  <si>
    <t>3 av 3 finner kritisk komponent, mengde og uke.</t>
  </si>
  <si>
    <t>Epic 6 (utvidelse): Fast partistørrelse</t>
  </si>
  <si>
    <t>Fast partistørrelse som valgbar regel. Gjøres bare hvis milepælen ble nådd.</t>
  </si>
  <si>
    <t>Egen fasittabell stemmer.</t>
  </si>
  <si>
    <t>Full testing</t>
  </si>
  <si>
    <t>Realistisk scenario over hele perioden, full testkjøring og feilretting.</t>
  </si>
  <si>
    <t>Alle tester er grønne.</t>
  </si>
  <si>
    <t>README og sporbarhet</t>
  </si>
  <si>
    <t>README, test at appen kjører fra en ny kopi av repoet, og oppdater brief, PRD og stories slik at sporbarheten holder.</t>
  </si>
  <si>
    <t>Noen utenfor gruppa har kjørt appen etter README.</t>
  </si>
  <si>
    <t>LEVERING</t>
  </si>
  <si>
    <t>Prosjektet leveres.</t>
  </si>
  <si>
    <t>Alt er levert.</t>
  </si>
  <si>
    <t>Forklaring:</t>
  </si>
  <si>
    <t>Planlagt aktivitet</t>
  </si>
  <si>
    <t>Milepæl / levering</t>
  </si>
  <si>
    <t>Ferdig (Status = Ferdig)</t>
  </si>
  <si>
    <t>Fyll inn (dato for dag 0)</t>
  </si>
  <si>
    <t>Blå tall i Start/Slutt kan endres – varighet, datoer og Gantt oppdateres automatisk.</t>
  </si>
  <si>
    <t>Merknad:</t>
  </si>
  <si>
    <t>Planen er på omtrent 8 uker (56 dager). Får dere dårlig tid, kort ned Epic 6 (utvidelsen) – ikke testing og README, som teller i vurderingen.</t>
  </si>
  <si>
    <t>Tilbakemelding på projectbrief (faglærer, 06.10)</t>
  </si>
  <si>
    <t>Samlet vurdering: «Godt utgangspunkt med justeringer» – dere kan gå videre.</t>
  </si>
  <si>
    <t>Tilbakemelding</t>
  </si>
  <si>
    <t>Slik står det i briefen nå</t>
  </si>
  <si>
    <t>Hva dere må gjøre</t>
  </si>
  <si>
    <t>Brukerflyt for endring midtveis (endret MPS)</t>
  </si>
  <si>
    <t>Står som suksesskriterium, men ikke i «The Solution». Det er ikke avklart om brukeren laster opp en ny fil, redigerer i appen eller sammenligner før og etter.</t>
  </si>
  <si>
    <t>Velg én flyt og beskriv den i «The Solution». Faglæreren foreslår en enkel før/etter-visning, slik at problemet «dårlig oversikt ved endringer» faktisk blir løst.</t>
  </si>
  <si>
    <t>Navngi eksepsjonstypene</t>
  </si>
  <si>
    <t>Briefen sier bare «mangler, forsinkelser eller feil». Typene står i addendumet: under sikkerhetslager, bestilling forsinket og innkjøpstid overskrider horisont.</t>
  </si>
  <si>
    <t>Flytt listen inn i «Scope». Da kan kriteriet om pålitelig eksepsjonshåndtering testes.</t>
  </si>
  <si>
    <t>For smal kjerne – legg inn én utvidelse</t>
  </si>
  <si>
    <t>Fast partistørrelse og flernivå BOM ligger bare under «Ikke med i første versjon».</t>
  </si>
  <si>
    <t>Legg inn én valgfri utvidelse som et eget, senere epic. Fast partistørrelse er enklest, fordi den krever lite ekstra datamodell.</t>
  </si>
  <si>
    <t>Avvik mellom brief og addendum</t>
  </si>
  <si>
    <t>Briefen sier 5–10 komponenter og lot-for-lot. Veikartet i addendumet sier 3–5 komponenter, 4–8 uker og fast partistørrelse.</t>
  </si>
  <si>
    <t>Oppdater veikartet eller merk det tydelig som utdatert.</t>
  </si>
  <si>
    <t>Skisse av resultattabell og varsler (design)</t>
  </si>
  <si>
    <t>Briefen sier bare «oversiktlig tabell».</t>
  </si>
  <si>
    <t>Skisser hvordan kritiske komponenter og varsler fremheves. Det er dette brukertesten med 3 av 3 testpersoner måler.</t>
  </si>
  <si>
    <t>Testeksempel med fasit</t>
  </si>
  <si>
    <t>Er planlagt, men ikke laget.</t>
  </si>
  <si>
    <t>Lag det før implementeringen, med grensetilfeller som behov i uke 1 og innkjøpstid lengre enn horisonten.</t>
  </si>
  <si>
    <t>PRD og arkitektur mangler</t>
  </si>
  <si>
    <t>Repoet har ikke noe etter briefen.</t>
  </si>
  <si>
    <t>Lag disse snart. Hold beregningsmotoren adskilt fra Excel-lesing og visning.</t>
  </si>
  <si>
    <t>Ryddighet i repoet</t>
  </si>
  <si>
    <t>test.txt ligger fortsatt i roten. Det finnes ingen egen mappe for testdata.</t>
  </si>
  <si>
    <t>Slett test.txt og lag en egen mappe for Excel-mal og testeksempler med fasit.</t>
  </si>
  <si>
    <t>Bra slik det er:</t>
  </si>
  <si>
    <t>Avgrensningen, suksesskriteriene («blant de beste vi har sett»), målgruppen, differensieringen og visjonen.</t>
  </si>
  <si>
    <t>Ferdig</t>
  </si>
  <si>
    <t>Hele gruppen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</si>
</sst>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color rgb="FF595959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0"/>
      <color rgb="FFFFFFFF"/>
      <name val="Arial"/>
      <family val="2"/>
    </font>
    <font>
      <b/>
      <sz val="7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595959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14" fontId="1" fillId="2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0" fontId="8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9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top"/>
    </xf>
    <xf numFmtId="0" fontId="9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0" fontId="9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top"/>
    </xf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8" fillId="3" borderId="1" xfId="0" applyFont="1" applyFill="1" applyBorder="1"/>
    <xf numFmtId="0" fontId="1" fillId="0" borderId="1" xfId="0" applyFont="1" applyBorder="1" applyAlignment="1">
      <alignment horizontal="center" vertical="top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7"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4472C4"/>
        </patternFill>
      </fill>
    </dxf>
    <dxf>
      <fill>
        <patternFill>
          <bgColor rgb="FFED7D31"/>
        </patternFill>
      </fill>
    </dxf>
    <dxf>
      <fill>
        <patternFill>
          <bgColor rgb="FF70AD47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8693-D786-4A4B-BDD9-BA312C67B7EE}">
  <sheetPr>
    <pageSetUpPr fitToPage="1"/>
  </sheetPr>
  <dimension ref="A1:ZZ1000"/>
  <sheetViews>
    <sheetView tabSelected="1" zoomScale="90" zoomScaleNormal="90" workbookViewId="0">
      <pane xSplit="2" ySplit="4" topLeftCell="C5" activePane="bottomRight" state="frozenSplit"/>
      <selection pane="topRight" activeCell="C1" sqref="C1"/>
      <selection pane="bottomLeft" activeCell="A5" sqref="A5"/>
      <selection pane="bottomRight" activeCell="C2" sqref="C2"/>
    </sheetView>
  </sheetViews>
  <sheetFormatPr baseColWidth="10" defaultColWidth="8.6640625" defaultRowHeight="13" x14ac:dyDescent="0.15"/>
  <cols>
    <col min="1" max="1" width="5.6640625" style="1" customWidth="1"/>
    <col min="2" max="2" width="30.6640625" style="1" customWidth="1"/>
    <col min="3" max="3" width="55.6640625" style="1" customWidth="1"/>
    <col min="4" max="6" width="10.6640625" style="1" customWidth="1"/>
    <col min="7" max="8" width="12.6640625" style="1" customWidth="1"/>
    <col min="9" max="9" width="40.6640625" style="1" customWidth="1"/>
    <col min="10" max="11" width="14.6640625" style="1" customWidth="1"/>
    <col min="12" max="67" width="3.33203125" style="1" customWidth="1"/>
    <col min="68" max="16384" width="8.6640625" style="1"/>
  </cols>
  <sheetData>
    <row r="1" spans="1:67" ht="20" x14ac:dyDescent="0.2">
      <c r="A1" s="2" t="s">
        <v>0</v>
      </c>
    </row>
    <row r="2" spans="1:67" x14ac:dyDescent="0.15">
      <c r="A2" s="32" t="s">
        <v>1</v>
      </c>
      <c r="B2" s="33"/>
      <c r="C2" s="5"/>
      <c r="D2" s="7" t="s">
        <v>2</v>
      </c>
    </row>
    <row r="3" spans="1:67" x14ac:dyDescent="0.15">
      <c r="A3" s="6" t="s">
        <v>3</v>
      </c>
    </row>
    <row r="4" spans="1:67" ht="28" customHeight="1" x14ac:dyDescent="0.15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9" t="s">
        <v>13</v>
      </c>
      <c r="K4" s="9" t="s">
        <v>14</v>
      </c>
      <c r="L4" s="10">
        <v>1</v>
      </c>
      <c r="M4" s="10">
        <v>2</v>
      </c>
      <c r="N4" s="10">
        <v>3</v>
      </c>
      <c r="O4" s="10">
        <v>4</v>
      </c>
      <c r="P4" s="10">
        <v>5</v>
      </c>
      <c r="Q4" s="23">
        <v>6</v>
      </c>
      <c r="R4" s="25">
        <v>7</v>
      </c>
      <c r="S4" s="21">
        <v>8</v>
      </c>
      <c r="T4" s="10">
        <v>9</v>
      </c>
      <c r="U4" s="10">
        <v>10</v>
      </c>
      <c r="V4" s="10">
        <v>11</v>
      </c>
      <c r="W4" s="10">
        <v>12</v>
      </c>
      <c r="X4" s="23">
        <v>13</v>
      </c>
      <c r="Y4" s="25">
        <v>14</v>
      </c>
      <c r="Z4" s="21">
        <v>15</v>
      </c>
      <c r="AA4" s="10">
        <v>16</v>
      </c>
      <c r="AB4" s="10">
        <v>17</v>
      </c>
      <c r="AC4" s="10">
        <v>18</v>
      </c>
      <c r="AD4" s="10">
        <v>19</v>
      </c>
      <c r="AE4" s="23">
        <v>20</v>
      </c>
      <c r="AF4" s="25">
        <v>21</v>
      </c>
      <c r="AG4" s="21">
        <v>22</v>
      </c>
      <c r="AH4" s="10">
        <v>23</v>
      </c>
      <c r="AI4" s="10">
        <v>24</v>
      </c>
      <c r="AJ4" s="10">
        <v>25</v>
      </c>
      <c r="AK4" s="10">
        <v>26</v>
      </c>
      <c r="AL4" s="23">
        <v>27</v>
      </c>
      <c r="AM4" s="25">
        <v>28</v>
      </c>
      <c r="AN4" s="21">
        <v>29</v>
      </c>
      <c r="AO4" s="10">
        <v>30</v>
      </c>
      <c r="AP4" s="10">
        <v>31</v>
      </c>
      <c r="AQ4" s="10">
        <v>32</v>
      </c>
      <c r="AR4" s="10">
        <v>33</v>
      </c>
      <c r="AS4" s="23">
        <v>34</v>
      </c>
      <c r="AT4" s="25">
        <v>35</v>
      </c>
      <c r="AU4" s="21">
        <v>36</v>
      </c>
      <c r="AV4" s="10">
        <v>37</v>
      </c>
      <c r="AW4" s="10">
        <v>38</v>
      </c>
      <c r="AX4" s="10">
        <v>39</v>
      </c>
      <c r="AY4" s="10">
        <v>40</v>
      </c>
      <c r="AZ4" s="23">
        <v>41</v>
      </c>
      <c r="BA4" s="25">
        <v>42</v>
      </c>
      <c r="BB4" s="21">
        <v>43</v>
      </c>
      <c r="BC4" s="10">
        <v>44</v>
      </c>
      <c r="BD4" s="10">
        <v>45</v>
      </c>
      <c r="BE4" s="10">
        <v>46</v>
      </c>
      <c r="BF4" s="10">
        <v>47</v>
      </c>
      <c r="BG4" s="23">
        <v>48</v>
      </c>
      <c r="BH4" s="25">
        <v>49</v>
      </c>
      <c r="BI4" s="21">
        <v>50</v>
      </c>
      <c r="BJ4" s="10">
        <v>51</v>
      </c>
      <c r="BK4" s="10">
        <v>52</v>
      </c>
      <c r="BL4" s="10">
        <v>53</v>
      </c>
      <c r="BM4" s="10">
        <v>54</v>
      </c>
      <c r="BN4" s="10">
        <v>55</v>
      </c>
      <c r="BO4" s="10">
        <v>56</v>
      </c>
    </row>
    <row r="5" spans="1:67" ht="42" x14ac:dyDescent="0.15">
      <c r="A5" s="11">
        <v>1</v>
      </c>
      <c r="B5" s="12" t="s">
        <v>15</v>
      </c>
      <c r="C5" s="12" t="s">
        <v>16</v>
      </c>
      <c r="D5" s="13">
        <v>1</v>
      </c>
      <c r="E5" s="13">
        <v>3</v>
      </c>
      <c r="F5" s="11">
        <f t="shared" ref="F5:F19" si="0">E5-D5+1</f>
        <v>3</v>
      </c>
      <c r="G5" s="14" t="str">
        <f t="shared" ref="G5:G19" si="1">IF($C$2="","",$C$2+D5)</f>
        <v/>
      </c>
      <c r="H5" s="14" t="str">
        <f t="shared" ref="H5:H19" si="2">IF($C$2="","",$C$2+E5)</f>
        <v/>
      </c>
      <c r="I5" s="12" t="s">
        <v>17</v>
      </c>
      <c r="J5" s="15" t="s">
        <v>101</v>
      </c>
      <c r="K5" s="15" t="s">
        <v>100</v>
      </c>
      <c r="L5" s="15"/>
      <c r="M5" s="15"/>
      <c r="N5" s="15"/>
      <c r="O5" s="15"/>
      <c r="P5" s="15"/>
      <c r="Q5" s="24"/>
      <c r="R5" s="26"/>
      <c r="S5" s="22"/>
      <c r="T5" s="15"/>
      <c r="U5" s="15"/>
      <c r="V5" s="15"/>
      <c r="W5" s="15"/>
      <c r="X5" s="24"/>
      <c r="Y5" s="26"/>
      <c r="Z5" s="22"/>
      <c r="AA5" s="15"/>
      <c r="AB5" s="15"/>
      <c r="AC5" s="15"/>
      <c r="AD5" s="15"/>
      <c r="AE5" s="24"/>
      <c r="AF5" s="26"/>
      <c r="AG5" s="22"/>
      <c r="AH5" s="15"/>
      <c r="AI5" s="15"/>
      <c r="AJ5" s="15"/>
      <c r="AK5" s="15"/>
      <c r="AL5" s="24"/>
      <c r="AM5" s="26"/>
      <c r="AN5" s="22"/>
      <c r="AO5" s="15"/>
      <c r="AP5" s="15"/>
      <c r="AQ5" s="15"/>
      <c r="AR5" s="15"/>
      <c r="AS5" s="24"/>
      <c r="AT5" s="26"/>
      <c r="AU5" s="22"/>
      <c r="AV5" s="15"/>
      <c r="AW5" s="15"/>
      <c r="AX5" s="15"/>
      <c r="AY5" s="15"/>
      <c r="AZ5" s="24"/>
      <c r="BA5" s="26"/>
      <c r="BB5" s="22"/>
      <c r="BC5" s="15"/>
      <c r="BD5" s="15"/>
      <c r="BE5" s="15"/>
      <c r="BF5" s="15"/>
      <c r="BG5" s="24"/>
      <c r="BH5" s="26"/>
      <c r="BI5" s="22"/>
      <c r="BJ5" s="15"/>
      <c r="BK5" s="15"/>
      <c r="BL5" s="15"/>
      <c r="BM5" s="15"/>
      <c r="BN5" s="15"/>
      <c r="BO5" s="15"/>
    </row>
    <row r="6" spans="1:67" ht="28" x14ac:dyDescent="0.15">
      <c r="A6" s="11">
        <v>2</v>
      </c>
      <c r="B6" s="12" t="s">
        <v>19</v>
      </c>
      <c r="C6" s="12" t="s">
        <v>20</v>
      </c>
      <c r="D6" s="13">
        <v>3</v>
      </c>
      <c r="E6" s="13">
        <v>8</v>
      </c>
      <c r="F6" s="11">
        <f t="shared" si="0"/>
        <v>6</v>
      </c>
      <c r="G6" s="14" t="str">
        <f t="shared" si="1"/>
        <v/>
      </c>
      <c r="H6" s="14" t="str">
        <f t="shared" si="2"/>
        <v/>
      </c>
      <c r="I6" s="12" t="s">
        <v>21</v>
      </c>
      <c r="J6" s="15"/>
      <c r="K6" s="15" t="s">
        <v>18</v>
      </c>
      <c r="L6" s="15"/>
      <c r="M6" s="15"/>
      <c r="N6" s="15"/>
      <c r="O6" s="15"/>
      <c r="P6" s="15"/>
      <c r="Q6" s="24"/>
      <c r="R6" s="26"/>
      <c r="S6" s="22"/>
      <c r="T6" s="15"/>
      <c r="U6" s="15"/>
      <c r="V6" s="15"/>
      <c r="W6" s="15"/>
      <c r="X6" s="24"/>
      <c r="Y6" s="26"/>
      <c r="Z6" s="22"/>
      <c r="AA6" s="15"/>
      <c r="AB6" s="15"/>
      <c r="AC6" s="15"/>
      <c r="AD6" s="15"/>
      <c r="AE6" s="24"/>
      <c r="AF6" s="26"/>
      <c r="AG6" s="22"/>
      <c r="AH6" s="15"/>
      <c r="AI6" s="15"/>
      <c r="AJ6" s="15"/>
      <c r="AK6" s="15"/>
      <c r="AL6" s="24"/>
      <c r="AM6" s="26"/>
      <c r="AN6" s="22"/>
      <c r="AO6" s="15"/>
      <c r="AP6" s="15"/>
      <c r="AQ6" s="15"/>
      <c r="AR6" s="15"/>
      <c r="AS6" s="24"/>
      <c r="AT6" s="26"/>
      <c r="AU6" s="22"/>
      <c r="AV6" s="15"/>
      <c r="AW6" s="15"/>
      <c r="AX6" s="15"/>
      <c r="AY6" s="15"/>
      <c r="AZ6" s="24"/>
      <c r="BA6" s="26"/>
      <c r="BB6" s="22"/>
      <c r="BC6" s="15"/>
      <c r="BD6" s="15"/>
      <c r="BE6" s="15"/>
      <c r="BF6" s="15"/>
      <c r="BG6" s="24"/>
      <c r="BH6" s="26"/>
      <c r="BI6" s="22"/>
      <c r="BJ6" s="15"/>
      <c r="BK6" s="15"/>
      <c r="BL6" s="15"/>
      <c r="BM6" s="15"/>
      <c r="BN6" s="15"/>
      <c r="BO6" s="15"/>
    </row>
    <row r="7" spans="1:67" ht="28" x14ac:dyDescent="0.15">
      <c r="A7" s="11">
        <v>3</v>
      </c>
      <c r="B7" s="12" t="s">
        <v>22</v>
      </c>
      <c r="C7" s="12" t="s">
        <v>23</v>
      </c>
      <c r="D7" s="13">
        <v>8</v>
      </c>
      <c r="E7" s="13">
        <v>12</v>
      </c>
      <c r="F7" s="11">
        <f t="shared" si="0"/>
        <v>5</v>
      </c>
      <c r="G7" s="14" t="str">
        <f t="shared" si="1"/>
        <v/>
      </c>
      <c r="H7" s="14" t="str">
        <f t="shared" si="2"/>
        <v/>
      </c>
      <c r="I7" s="12" t="s">
        <v>24</v>
      </c>
      <c r="J7" s="15"/>
      <c r="K7" s="15" t="s">
        <v>18</v>
      </c>
      <c r="L7" s="15"/>
      <c r="M7" s="15"/>
      <c r="N7" s="15"/>
      <c r="O7" s="15"/>
      <c r="P7" s="15"/>
      <c r="Q7" s="24"/>
      <c r="R7" s="26"/>
      <c r="S7" s="22"/>
      <c r="T7" s="15"/>
      <c r="U7" s="15"/>
      <c r="V7" s="15"/>
      <c r="W7" s="15"/>
      <c r="X7" s="24"/>
      <c r="Y7" s="26"/>
      <c r="Z7" s="22"/>
      <c r="AA7" s="15"/>
      <c r="AB7" s="15"/>
      <c r="AC7" s="15"/>
      <c r="AD7" s="15"/>
      <c r="AE7" s="24"/>
      <c r="AF7" s="26"/>
      <c r="AG7" s="22"/>
      <c r="AH7" s="15"/>
      <c r="AI7" s="15"/>
      <c r="AJ7" s="15"/>
      <c r="AK7" s="15"/>
      <c r="AL7" s="24"/>
      <c r="AM7" s="26"/>
      <c r="AN7" s="22"/>
      <c r="AO7" s="15"/>
      <c r="AP7" s="15"/>
      <c r="AQ7" s="15"/>
      <c r="AR7" s="15"/>
      <c r="AS7" s="24"/>
      <c r="AT7" s="26"/>
      <c r="AU7" s="22"/>
      <c r="AV7" s="15"/>
      <c r="AW7" s="15"/>
      <c r="AX7" s="15"/>
      <c r="AY7" s="15"/>
      <c r="AZ7" s="24"/>
      <c r="BA7" s="26"/>
      <c r="BB7" s="22"/>
      <c r="BC7" s="15"/>
      <c r="BD7" s="15"/>
      <c r="BE7" s="15"/>
      <c r="BF7" s="15"/>
      <c r="BG7" s="24"/>
      <c r="BH7" s="26"/>
      <c r="BI7" s="22"/>
      <c r="BJ7" s="15"/>
      <c r="BK7" s="15"/>
      <c r="BL7" s="15"/>
      <c r="BM7" s="15"/>
      <c r="BN7" s="15"/>
      <c r="BO7" s="15"/>
    </row>
    <row r="8" spans="1:67" ht="14" x14ac:dyDescent="0.15">
      <c r="A8" s="11">
        <v>4</v>
      </c>
      <c r="B8" s="12" t="s">
        <v>25</v>
      </c>
      <c r="C8" s="12" t="s">
        <v>26</v>
      </c>
      <c r="D8" s="13">
        <v>12</v>
      </c>
      <c r="E8" s="13">
        <v>14</v>
      </c>
      <c r="F8" s="11">
        <f t="shared" si="0"/>
        <v>3</v>
      </c>
      <c r="G8" s="14" t="str">
        <f t="shared" si="1"/>
        <v/>
      </c>
      <c r="H8" s="14" t="str">
        <f t="shared" si="2"/>
        <v/>
      </c>
      <c r="I8" s="12" t="s">
        <v>27</v>
      </c>
      <c r="J8" s="15"/>
      <c r="K8" s="15" t="s">
        <v>18</v>
      </c>
      <c r="L8" s="15"/>
      <c r="M8" s="15"/>
      <c r="N8" s="15"/>
      <c r="O8" s="15"/>
      <c r="P8" s="15"/>
      <c r="Q8" s="24"/>
      <c r="R8" s="26"/>
      <c r="S8" s="22"/>
      <c r="T8" s="15"/>
      <c r="U8" s="15"/>
      <c r="V8" s="15"/>
      <c r="W8" s="15"/>
      <c r="X8" s="24"/>
      <c r="Y8" s="26"/>
      <c r="Z8" s="22"/>
      <c r="AA8" s="15"/>
      <c r="AB8" s="15"/>
      <c r="AC8" s="15"/>
      <c r="AD8" s="15"/>
      <c r="AE8" s="24"/>
      <c r="AF8" s="26"/>
      <c r="AG8" s="22"/>
      <c r="AH8" s="15"/>
      <c r="AI8" s="15"/>
      <c r="AJ8" s="15"/>
      <c r="AK8" s="15"/>
      <c r="AL8" s="24"/>
      <c r="AM8" s="26"/>
      <c r="AN8" s="22"/>
      <c r="AO8" s="15"/>
      <c r="AP8" s="15"/>
      <c r="AQ8" s="15"/>
      <c r="AR8" s="15"/>
      <c r="AS8" s="24"/>
      <c r="AT8" s="26"/>
      <c r="AU8" s="22"/>
      <c r="AV8" s="15"/>
      <c r="AW8" s="15"/>
      <c r="AX8" s="15"/>
      <c r="AY8" s="15"/>
      <c r="AZ8" s="24"/>
      <c r="BA8" s="26"/>
      <c r="BB8" s="22"/>
      <c r="BC8" s="15"/>
      <c r="BD8" s="15"/>
      <c r="BE8" s="15"/>
      <c r="BF8" s="15"/>
      <c r="BG8" s="24"/>
      <c r="BH8" s="26"/>
      <c r="BI8" s="22"/>
      <c r="BJ8" s="15"/>
      <c r="BK8" s="15"/>
      <c r="BL8" s="15"/>
      <c r="BM8" s="15"/>
      <c r="BN8" s="15"/>
      <c r="BO8" s="15"/>
    </row>
    <row r="9" spans="1:67" ht="28" x14ac:dyDescent="0.15">
      <c r="A9" s="11">
        <v>5</v>
      </c>
      <c r="B9" s="12" t="s">
        <v>28</v>
      </c>
      <c r="C9" s="12" t="s">
        <v>29</v>
      </c>
      <c r="D9" s="13">
        <v>15</v>
      </c>
      <c r="E9" s="13">
        <v>19</v>
      </c>
      <c r="F9" s="11">
        <f t="shared" si="0"/>
        <v>5</v>
      </c>
      <c r="G9" s="14" t="str">
        <f t="shared" si="1"/>
        <v/>
      </c>
      <c r="H9" s="14" t="str">
        <f t="shared" si="2"/>
        <v/>
      </c>
      <c r="I9" s="12" t="s">
        <v>30</v>
      </c>
      <c r="J9" s="15"/>
      <c r="K9" s="15" t="s">
        <v>18</v>
      </c>
      <c r="L9" s="15"/>
      <c r="M9" s="15"/>
      <c r="N9" s="15"/>
      <c r="O9" s="15"/>
      <c r="P9" s="15"/>
      <c r="Q9" s="24"/>
      <c r="R9" s="26"/>
      <c r="S9" s="22"/>
      <c r="T9" s="15"/>
      <c r="U9" s="15"/>
      <c r="V9" s="15"/>
      <c r="W9" s="15"/>
      <c r="X9" s="24"/>
      <c r="Y9" s="26"/>
      <c r="Z9" s="22"/>
      <c r="AA9" s="15"/>
      <c r="AB9" s="15"/>
      <c r="AC9" s="15"/>
      <c r="AD9" s="15"/>
      <c r="AE9" s="24"/>
      <c r="AF9" s="26"/>
      <c r="AG9" s="22"/>
      <c r="AH9" s="15"/>
      <c r="AI9" s="15"/>
      <c r="AJ9" s="15"/>
      <c r="AK9" s="15"/>
      <c r="AL9" s="24"/>
      <c r="AM9" s="26"/>
      <c r="AN9" s="22"/>
      <c r="AO9" s="15"/>
      <c r="AP9" s="15"/>
      <c r="AQ9" s="15"/>
      <c r="AR9" s="15"/>
      <c r="AS9" s="24"/>
      <c r="AT9" s="26"/>
      <c r="AU9" s="22"/>
      <c r="AV9" s="15"/>
      <c r="AW9" s="15"/>
      <c r="AX9" s="15"/>
      <c r="AY9" s="15"/>
      <c r="AZ9" s="24"/>
      <c r="BA9" s="26"/>
      <c r="BB9" s="22"/>
      <c r="BC9" s="15"/>
      <c r="BD9" s="15"/>
      <c r="BE9" s="15"/>
      <c r="BF9" s="15"/>
      <c r="BG9" s="24"/>
      <c r="BH9" s="26"/>
      <c r="BI9" s="22"/>
      <c r="BJ9" s="15"/>
      <c r="BK9" s="15"/>
      <c r="BL9" s="15"/>
      <c r="BM9" s="15"/>
      <c r="BN9" s="15"/>
      <c r="BO9" s="15"/>
    </row>
    <row r="10" spans="1:67" ht="28" x14ac:dyDescent="0.15">
      <c r="A10" s="11">
        <v>6</v>
      </c>
      <c r="B10" s="12" t="s">
        <v>31</v>
      </c>
      <c r="C10" s="12" t="s">
        <v>32</v>
      </c>
      <c r="D10" s="13">
        <v>17</v>
      </c>
      <c r="E10" s="13">
        <v>24</v>
      </c>
      <c r="F10" s="11">
        <f t="shared" si="0"/>
        <v>8</v>
      </c>
      <c r="G10" s="14" t="str">
        <f t="shared" si="1"/>
        <v/>
      </c>
      <c r="H10" s="14" t="str">
        <f t="shared" si="2"/>
        <v/>
      </c>
      <c r="I10" s="12" t="s">
        <v>33</v>
      </c>
      <c r="J10" s="15"/>
      <c r="K10" s="15" t="s">
        <v>18</v>
      </c>
      <c r="L10" s="15"/>
      <c r="M10" s="15"/>
      <c r="N10" s="15"/>
      <c r="O10" s="15"/>
      <c r="P10" s="15"/>
      <c r="Q10" s="24"/>
      <c r="R10" s="26"/>
      <c r="S10" s="22"/>
      <c r="T10" s="15"/>
      <c r="U10" s="15"/>
      <c r="V10" s="15"/>
      <c r="W10" s="15"/>
      <c r="X10" s="24"/>
      <c r="Y10" s="26"/>
      <c r="Z10" s="22"/>
      <c r="AA10" s="15"/>
      <c r="AB10" s="15"/>
      <c r="AC10" s="15"/>
      <c r="AD10" s="15"/>
      <c r="AE10" s="24"/>
      <c r="AF10" s="26"/>
      <c r="AG10" s="22"/>
      <c r="AH10" s="15"/>
      <c r="AI10" s="15"/>
      <c r="AJ10" s="15"/>
      <c r="AK10" s="15"/>
      <c r="AL10" s="24"/>
      <c r="AM10" s="26"/>
      <c r="AN10" s="22"/>
      <c r="AO10" s="15"/>
      <c r="AP10" s="15"/>
      <c r="AQ10" s="15"/>
      <c r="AR10" s="15"/>
      <c r="AS10" s="24"/>
      <c r="AT10" s="26"/>
      <c r="AU10" s="22"/>
      <c r="AV10" s="15"/>
      <c r="AW10" s="15"/>
      <c r="AX10" s="15"/>
      <c r="AY10" s="15"/>
      <c r="AZ10" s="24"/>
      <c r="BA10" s="26"/>
      <c r="BB10" s="22"/>
      <c r="BC10" s="15"/>
      <c r="BD10" s="15"/>
      <c r="BE10" s="15"/>
      <c r="BF10" s="15"/>
      <c r="BG10" s="24"/>
      <c r="BH10" s="26"/>
      <c r="BI10" s="22"/>
      <c r="BJ10" s="15"/>
      <c r="BK10" s="15"/>
      <c r="BL10" s="15"/>
      <c r="BM10" s="15"/>
      <c r="BN10" s="15"/>
      <c r="BO10" s="15"/>
    </row>
    <row r="11" spans="1:67" ht="28" x14ac:dyDescent="0.15">
      <c r="A11" s="11">
        <v>7</v>
      </c>
      <c r="B11" s="12" t="s">
        <v>34</v>
      </c>
      <c r="C11" s="12" t="s">
        <v>35</v>
      </c>
      <c r="D11" s="13">
        <v>25</v>
      </c>
      <c r="E11" s="13">
        <v>29</v>
      </c>
      <c r="F11" s="11">
        <f t="shared" si="0"/>
        <v>5</v>
      </c>
      <c r="G11" s="14" t="str">
        <f t="shared" si="1"/>
        <v/>
      </c>
      <c r="H11" s="14" t="str">
        <f t="shared" si="2"/>
        <v/>
      </c>
      <c r="I11" s="12" t="s">
        <v>36</v>
      </c>
      <c r="J11" s="15"/>
      <c r="K11" s="15" t="s">
        <v>18</v>
      </c>
      <c r="L11" s="15"/>
      <c r="M11" s="15"/>
      <c r="N11" s="15"/>
      <c r="O11" s="15"/>
      <c r="P11" s="15"/>
      <c r="Q11" s="24"/>
      <c r="R11" s="26"/>
      <c r="S11" s="22"/>
      <c r="T11" s="15"/>
      <c r="U11" s="15"/>
      <c r="V11" s="15"/>
      <c r="W11" s="15"/>
      <c r="X11" s="24"/>
      <c r="Y11" s="26"/>
      <c r="Z11" s="22"/>
      <c r="AA11" s="15"/>
      <c r="AB11" s="15"/>
      <c r="AC11" s="15"/>
      <c r="AD11" s="15"/>
      <c r="AE11" s="24"/>
      <c r="AF11" s="26"/>
      <c r="AG11" s="22"/>
      <c r="AH11" s="15"/>
      <c r="AI11" s="15"/>
      <c r="AJ11" s="15"/>
      <c r="AK11" s="15"/>
      <c r="AL11" s="24"/>
      <c r="AM11" s="26"/>
      <c r="AN11" s="22"/>
      <c r="AO11" s="15"/>
      <c r="AP11" s="15"/>
      <c r="AQ11" s="15"/>
      <c r="AR11" s="15"/>
      <c r="AS11" s="24"/>
      <c r="AT11" s="26"/>
      <c r="AU11" s="22"/>
      <c r="AV11" s="15"/>
      <c r="AW11" s="15"/>
      <c r="AX11" s="15"/>
      <c r="AY11" s="15"/>
      <c r="AZ11" s="24"/>
      <c r="BA11" s="26"/>
      <c r="BB11" s="22"/>
      <c r="BC11" s="15"/>
      <c r="BD11" s="15"/>
      <c r="BE11" s="15"/>
      <c r="BF11" s="15"/>
      <c r="BG11" s="24"/>
      <c r="BH11" s="26"/>
      <c r="BI11" s="22"/>
      <c r="BJ11" s="15"/>
      <c r="BK11" s="15"/>
      <c r="BL11" s="15"/>
      <c r="BM11" s="15"/>
      <c r="BN11" s="15"/>
      <c r="BO11" s="15"/>
    </row>
    <row r="12" spans="1:67" ht="28" x14ac:dyDescent="0.15">
      <c r="A12" s="11">
        <v>8</v>
      </c>
      <c r="B12" s="12" t="s">
        <v>37</v>
      </c>
      <c r="C12" s="12" t="s">
        <v>38</v>
      </c>
      <c r="D12" s="13">
        <v>28</v>
      </c>
      <c r="E12" s="13">
        <v>34</v>
      </c>
      <c r="F12" s="11">
        <f t="shared" si="0"/>
        <v>7</v>
      </c>
      <c r="G12" s="14" t="str">
        <f t="shared" si="1"/>
        <v/>
      </c>
      <c r="H12" s="14" t="str">
        <f t="shared" si="2"/>
        <v/>
      </c>
      <c r="I12" s="12" t="s">
        <v>39</v>
      </c>
      <c r="J12" s="15"/>
      <c r="K12" s="15" t="s">
        <v>18</v>
      </c>
      <c r="L12" s="15"/>
      <c r="M12" s="15"/>
      <c r="N12" s="15"/>
      <c r="O12" s="15"/>
      <c r="P12" s="15"/>
      <c r="Q12" s="24"/>
      <c r="R12" s="26"/>
      <c r="S12" s="22"/>
      <c r="T12" s="15"/>
      <c r="U12" s="15"/>
      <c r="V12" s="15"/>
      <c r="W12" s="15"/>
      <c r="X12" s="24"/>
      <c r="Y12" s="26"/>
      <c r="Z12" s="22"/>
      <c r="AA12" s="15"/>
      <c r="AB12" s="15"/>
      <c r="AC12" s="15"/>
      <c r="AD12" s="15"/>
      <c r="AE12" s="24"/>
      <c r="AF12" s="26"/>
      <c r="AG12" s="22"/>
      <c r="AH12" s="15"/>
      <c r="AI12" s="15"/>
      <c r="AJ12" s="15"/>
      <c r="AK12" s="15"/>
      <c r="AL12" s="24"/>
      <c r="AM12" s="26"/>
      <c r="AN12" s="22"/>
      <c r="AO12" s="15"/>
      <c r="AP12" s="15"/>
      <c r="AQ12" s="15"/>
      <c r="AR12" s="15"/>
      <c r="AS12" s="24"/>
      <c r="AT12" s="26"/>
      <c r="AU12" s="22"/>
      <c r="AV12" s="15"/>
      <c r="AW12" s="15"/>
      <c r="AX12" s="15"/>
      <c r="AY12" s="15"/>
      <c r="AZ12" s="24"/>
      <c r="BA12" s="26"/>
      <c r="BB12" s="22"/>
      <c r="BC12" s="15"/>
      <c r="BD12" s="15"/>
      <c r="BE12" s="15"/>
      <c r="BF12" s="15"/>
      <c r="BG12" s="24"/>
      <c r="BH12" s="26"/>
      <c r="BI12" s="22"/>
      <c r="BJ12" s="15"/>
      <c r="BK12" s="15"/>
      <c r="BL12" s="15"/>
      <c r="BM12" s="15"/>
      <c r="BN12" s="15"/>
      <c r="BO12" s="15"/>
    </row>
    <row r="13" spans="1:67" ht="14" x14ac:dyDescent="0.15">
      <c r="A13" s="16">
        <v>9</v>
      </c>
      <c r="B13" s="17" t="s">
        <v>40</v>
      </c>
      <c r="C13" s="17" t="s">
        <v>41</v>
      </c>
      <c r="D13" s="18">
        <v>35</v>
      </c>
      <c r="E13" s="18">
        <v>35</v>
      </c>
      <c r="F13" s="16">
        <f t="shared" si="0"/>
        <v>1</v>
      </c>
      <c r="G13" s="19" t="str">
        <f t="shared" si="1"/>
        <v/>
      </c>
      <c r="H13" s="19" t="str">
        <f t="shared" si="2"/>
        <v/>
      </c>
      <c r="I13" s="17" t="s">
        <v>42</v>
      </c>
      <c r="J13" s="20"/>
      <c r="K13" s="20" t="s">
        <v>18</v>
      </c>
      <c r="L13" s="15"/>
      <c r="M13" s="15"/>
      <c r="N13" s="15"/>
      <c r="O13" s="15"/>
      <c r="P13" s="15"/>
      <c r="Q13" s="24"/>
      <c r="R13" s="26"/>
      <c r="S13" s="22"/>
      <c r="T13" s="15"/>
      <c r="U13" s="15"/>
      <c r="V13" s="15"/>
      <c r="W13" s="15"/>
      <c r="X13" s="24"/>
      <c r="Y13" s="26"/>
      <c r="Z13" s="22"/>
      <c r="AA13" s="15"/>
      <c r="AB13" s="15"/>
      <c r="AC13" s="15"/>
      <c r="AD13" s="15"/>
      <c r="AE13" s="24"/>
      <c r="AF13" s="26"/>
      <c r="AG13" s="22"/>
      <c r="AH13" s="15"/>
      <c r="AI13" s="15"/>
      <c r="AJ13" s="15"/>
      <c r="AK13" s="15"/>
      <c r="AL13" s="24"/>
      <c r="AM13" s="26"/>
      <c r="AN13" s="22"/>
      <c r="AO13" s="15"/>
      <c r="AP13" s="15"/>
      <c r="AQ13" s="15"/>
      <c r="AR13" s="15"/>
      <c r="AS13" s="24"/>
      <c r="AT13" s="26"/>
      <c r="AU13" s="22"/>
      <c r="AV13" s="15"/>
      <c r="AW13" s="15"/>
      <c r="AX13" s="15"/>
      <c r="AY13" s="15"/>
      <c r="AZ13" s="24"/>
      <c r="BA13" s="26"/>
      <c r="BB13" s="22"/>
      <c r="BC13" s="15"/>
      <c r="BD13" s="15"/>
      <c r="BE13" s="15"/>
      <c r="BF13" s="15"/>
      <c r="BG13" s="24"/>
      <c r="BH13" s="26"/>
      <c r="BI13" s="22"/>
      <c r="BJ13" s="15"/>
      <c r="BK13" s="15"/>
      <c r="BL13" s="15"/>
      <c r="BM13" s="15"/>
      <c r="BN13" s="15"/>
      <c r="BO13" s="15"/>
    </row>
    <row r="14" spans="1:67" ht="14" x14ac:dyDescent="0.15">
      <c r="A14" s="11">
        <v>10</v>
      </c>
      <c r="B14" s="12" t="s">
        <v>43</v>
      </c>
      <c r="C14" s="12" t="s">
        <v>44</v>
      </c>
      <c r="D14" s="13">
        <v>35</v>
      </c>
      <c r="E14" s="13">
        <v>39</v>
      </c>
      <c r="F14" s="11">
        <f t="shared" si="0"/>
        <v>5</v>
      </c>
      <c r="G14" s="14" t="str">
        <f t="shared" si="1"/>
        <v/>
      </c>
      <c r="H14" s="14" t="str">
        <f t="shared" si="2"/>
        <v/>
      </c>
      <c r="I14" s="12" t="s">
        <v>45</v>
      </c>
      <c r="J14" s="15"/>
      <c r="K14" s="15" t="s">
        <v>18</v>
      </c>
      <c r="L14" s="15"/>
      <c r="M14" s="15"/>
      <c r="N14" s="15"/>
      <c r="O14" s="15"/>
      <c r="P14" s="15"/>
      <c r="Q14" s="24"/>
      <c r="R14" s="26"/>
      <c r="S14" s="22"/>
      <c r="T14" s="15"/>
      <c r="U14" s="15"/>
      <c r="V14" s="15"/>
      <c r="W14" s="15"/>
      <c r="X14" s="24"/>
      <c r="Y14" s="26"/>
      <c r="Z14" s="22"/>
      <c r="AA14" s="15"/>
      <c r="AB14" s="15"/>
      <c r="AC14" s="15"/>
      <c r="AD14" s="15"/>
      <c r="AE14" s="24"/>
      <c r="AF14" s="26"/>
      <c r="AG14" s="22"/>
      <c r="AH14" s="15"/>
      <c r="AI14" s="15"/>
      <c r="AJ14" s="15"/>
      <c r="AK14" s="15"/>
      <c r="AL14" s="24"/>
      <c r="AM14" s="26"/>
      <c r="AN14" s="22"/>
      <c r="AO14" s="15"/>
      <c r="AP14" s="15"/>
      <c r="AQ14" s="15"/>
      <c r="AR14" s="15"/>
      <c r="AS14" s="24"/>
      <c r="AT14" s="26"/>
      <c r="AU14" s="22"/>
      <c r="AV14" s="15"/>
      <c r="AW14" s="15"/>
      <c r="AX14" s="15"/>
      <c r="AY14" s="15"/>
      <c r="AZ14" s="24"/>
      <c r="BA14" s="26"/>
      <c r="BB14" s="22"/>
      <c r="BC14" s="15"/>
      <c r="BD14" s="15"/>
      <c r="BE14" s="15"/>
      <c r="BF14" s="15"/>
      <c r="BG14" s="24"/>
      <c r="BH14" s="26"/>
      <c r="BI14" s="22"/>
      <c r="BJ14" s="15"/>
      <c r="BK14" s="15"/>
      <c r="BL14" s="15"/>
      <c r="BM14" s="15"/>
      <c r="BN14" s="15"/>
      <c r="BO14" s="15"/>
    </row>
    <row r="15" spans="1:67" ht="14" x14ac:dyDescent="0.15">
      <c r="A15" s="11">
        <v>11</v>
      </c>
      <c r="B15" s="12" t="s">
        <v>46</v>
      </c>
      <c r="C15" s="12" t="s">
        <v>47</v>
      </c>
      <c r="D15" s="13">
        <v>38</v>
      </c>
      <c r="E15" s="13">
        <v>40</v>
      </c>
      <c r="F15" s="11">
        <f t="shared" si="0"/>
        <v>3</v>
      </c>
      <c r="G15" s="14" t="str">
        <f t="shared" si="1"/>
        <v/>
      </c>
      <c r="H15" s="14" t="str">
        <f t="shared" si="2"/>
        <v/>
      </c>
      <c r="I15" s="12" t="s">
        <v>48</v>
      </c>
      <c r="J15" s="15"/>
      <c r="K15" s="15" t="s">
        <v>18</v>
      </c>
      <c r="L15" s="15"/>
      <c r="M15" s="15"/>
      <c r="N15" s="15"/>
      <c r="O15" s="15"/>
      <c r="P15" s="15"/>
      <c r="Q15" s="24"/>
      <c r="R15" s="26"/>
      <c r="S15" s="22"/>
      <c r="T15" s="15"/>
      <c r="U15" s="15"/>
      <c r="V15" s="15"/>
      <c r="W15" s="15"/>
      <c r="X15" s="24"/>
      <c r="Y15" s="26"/>
      <c r="Z15" s="22"/>
      <c r="AA15" s="15"/>
      <c r="AB15" s="15"/>
      <c r="AC15" s="15"/>
      <c r="AD15" s="15"/>
      <c r="AE15" s="24"/>
      <c r="AF15" s="26"/>
      <c r="AG15" s="22"/>
      <c r="AH15" s="15"/>
      <c r="AI15" s="15"/>
      <c r="AJ15" s="15"/>
      <c r="AK15" s="15"/>
      <c r="AL15" s="24"/>
      <c r="AM15" s="26"/>
      <c r="AN15" s="22"/>
      <c r="AO15" s="15"/>
      <c r="AP15" s="15"/>
      <c r="AQ15" s="15"/>
      <c r="AR15" s="15"/>
      <c r="AS15" s="24"/>
      <c r="AT15" s="26"/>
      <c r="AU15" s="22"/>
      <c r="AV15" s="15"/>
      <c r="AW15" s="15"/>
      <c r="AX15" s="15"/>
      <c r="AY15" s="15"/>
      <c r="AZ15" s="24"/>
      <c r="BA15" s="26"/>
      <c r="BB15" s="22"/>
      <c r="BC15" s="15"/>
      <c r="BD15" s="15"/>
      <c r="BE15" s="15"/>
      <c r="BF15" s="15"/>
      <c r="BG15" s="24"/>
      <c r="BH15" s="26"/>
      <c r="BI15" s="22"/>
      <c r="BJ15" s="15"/>
      <c r="BK15" s="15"/>
      <c r="BL15" s="15"/>
      <c r="BM15" s="15"/>
      <c r="BN15" s="15"/>
      <c r="BO15" s="15"/>
    </row>
    <row r="16" spans="1:67" ht="28" x14ac:dyDescent="0.15">
      <c r="A16" s="11">
        <v>12</v>
      </c>
      <c r="B16" s="12" t="s">
        <v>49</v>
      </c>
      <c r="C16" s="12" t="s">
        <v>50</v>
      </c>
      <c r="D16" s="13">
        <v>40</v>
      </c>
      <c r="E16" s="13">
        <v>46</v>
      </c>
      <c r="F16" s="11">
        <f t="shared" si="0"/>
        <v>7</v>
      </c>
      <c r="G16" s="14" t="str">
        <f t="shared" si="1"/>
        <v/>
      </c>
      <c r="H16" s="14" t="str">
        <f t="shared" si="2"/>
        <v/>
      </c>
      <c r="I16" s="12" t="s">
        <v>51</v>
      </c>
      <c r="J16" s="15"/>
      <c r="K16" s="15" t="s">
        <v>18</v>
      </c>
      <c r="L16" s="15"/>
      <c r="M16" s="15"/>
      <c r="N16" s="15"/>
      <c r="O16" s="15"/>
      <c r="P16" s="15"/>
      <c r="Q16" s="24"/>
      <c r="R16" s="26"/>
      <c r="S16" s="22"/>
      <c r="T16" s="15"/>
      <c r="U16" s="15"/>
      <c r="V16" s="15"/>
      <c r="W16" s="15"/>
      <c r="X16" s="24"/>
      <c r="Y16" s="26"/>
      <c r="Z16" s="22"/>
      <c r="AA16" s="15"/>
      <c r="AB16" s="15"/>
      <c r="AC16" s="15"/>
      <c r="AD16" s="15"/>
      <c r="AE16" s="24"/>
      <c r="AF16" s="26"/>
      <c r="AG16" s="22"/>
      <c r="AH16" s="15"/>
      <c r="AI16" s="15"/>
      <c r="AJ16" s="15"/>
      <c r="AK16" s="15"/>
      <c r="AL16" s="24"/>
      <c r="AM16" s="26"/>
      <c r="AN16" s="22"/>
      <c r="AO16" s="15"/>
      <c r="AP16" s="15"/>
      <c r="AQ16" s="15"/>
      <c r="AR16" s="15"/>
      <c r="AS16" s="24"/>
      <c r="AT16" s="26"/>
      <c r="AU16" s="22"/>
      <c r="AV16" s="15"/>
      <c r="AW16" s="15"/>
      <c r="AX16" s="15"/>
      <c r="AY16" s="15"/>
      <c r="AZ16" s="24"/>
      <c r="BA16" s="26"/>
      <c r="BB16" s="22"/>
      <c r="BC16" s="15"/>
      <c r="BD16" s="15"/>
      <c r="BE16" s="15"/>
      <c r="BF16" s="15"/>
      <c r="BG16" s="24"/>
      <c r="BH16" s="26"/>
      <c r="BI16" s="22"/>
      <c r="BJ16" s="15"/>
      <c r="BK16" s="15"/>
      <c r="BL16" s="15"/>
      <c r="BM16" s="15"/>
      <c r="BN16" s="15"/>
      <c r="BO16" s="15"/>
    </row>
    <row r="17" spans="1:67" ht="14" x14ac:dyDescent="0.15">
      <c r="A17" s="11">
        <v>13</v>
      </c>
      <c r="B17" s="12" t="s">
        <v>52</v>
      </c>
      <c r="C17" s="12" t="s">
        <v>53</v>
      </c>
      <c r="D17" s="13">
        <v>47</v>
      </c>
      <c r="E17" s="13">
        <v>51</v>
      </c>
      <c r="F17" s="11">
        <f t="shared" si="0"/>
        <v>5</v>
      </c>
      <c r="G17" s="14" t="str">
        <f t="shared" si="1"/>
        <v/>
      </c>
      <c r="H17" s="14" t="str">
        <f t="shared" si="2"/>
        <v/>
      </c>
      <c r="I17" s="12" t="s">
        <v>54</v>
      </c>
      <c r="J17" s="15"/>
      <c r="K17" s="15" t="s">
        <v>18</v>
      </c>
      <c r="L17" s="15"/>
      <c r="M17" s="15"/>
      <c r="N17" s="15"/>
      <c r="O17" s="15"/>
      <c r="P17" s="15"/>
      <c r="Q17" s="24"/>
      <c r="R17" s="26"/>
      <c r="S17" s="22"/>
      <c r="T17" s="15"/>
      <c r="U17" s="15"/>
      <c r="V17" s="15"/>
      <c r="W17" s="15"/>
      <c r="X17" s="24"/>
      <c r="Y17" s="26"/>
      <c r="Z17" s="22"/>
      <c r="AA17" s="15"/>
      <c r="AB17" s="15"/>
      <c r="AC17" s="15"/>
      <c r="AD17" s="15"/>
      <c r="AE17" s="24"/>
      <c r="AF17" s="26"/>
      <c r="AG17" s="22"/>
      <c r="AH17" s="15"/>
      <c r="AI17" s="15"/>
      <c r="AJ17" s="15"/>
      <c r="AK17" s="15"/>
      <c r="AL17" s="24"/>
      <c r="AM17" s="26"/>
      <c r="AN17" s="22"/>
      <c r="AO17" s="15"/>
      <c r="AP17" s="15"/>
      <c r="AQ17" s="15"/>
      <c r="AR17" s="15"/>
      <c r="AS17" s="24"/>
      <c r="AT17" s="26"/>
      <c r="AU17" s="22"/>
      <c r="AV17" s="15"/>
      <c r="AW17" s="15"/>
      <c r="AX17" s="15"/>
      <c r="AY17" s="15"/>
      <c r="AZ17" s="24"/>
      <c r="BA17" s="26"/>
      <c r="BB17" s="22"/>
      <c r="BC17" s="15"/>
      <c r="BD17" s="15"/>
      <c r="BE17" s="15"/>
      <c r="BF17" s="15"/>
      <c r="BG17" s="24"/>
      <c r="BH17" s="26"/>
      <c r="BI17" s="22"/>
      <c r="BJ17" s="15"/>
      <c r="BK17" s="15"/>
      <c r="BL17" s="15"/>
      <c r="BM17" s="15"/>
      <c r="BN17" s="15"/>
      <c r="BO17" s="15"/>
    </row>
    <row r="18" spans="1:67" ht="28" x14ac:dyDescent="0.15">
      <c r="A18" s="11">
        <v>14</v>
      </c>
      <c r="B18" s="12" t="s">
        <v>55</v>
      </c>
      <c r="C18" s="12" t="s">
        <v>56</v>
      </c>
      <c r="D18" s="13">
        <v>52</v>
      </c>
      <c r="E18" s="13">
        <v>55</v>
      </c>
      <c r="F18" s="11">
        <f t="shared" si="0"/>
        <v>4</v>
      </c>
      <c r="G18" s="14" t="str">
        <f t="shared" si="1"/>
        <v/>
      </c>
      <c r="H18" s="14" t="str">
        <f t="shared" si="2"/>
        <v/>
      </c>
      <c r="I18" s="12" t="s">
        <v>57</v>
      </c>
      <c r="J18" s="15"/>
      <c r="K18" s="15" t="s">
        <v>18</v>
      </c>
      <c r="L18" s="15"/>
      <c r="M18" s="15"/>
      <c r="N18" s="15"/>
      <c r="O18" s="15"/>
      <c r="P18" s="15"/>
      <c r="Q18" s="24"/>
      <c r="R18" s="26"/>
      <c r="S18" s="22"/>
      <c r="T18" s="15"/>
      <c r="U18" s="15"/>
      <c r="V18" s="15"/>
      <c r="W18" s="15"/>
      <c r="X18" s="24"/>
      <c r="Y18" s="26"/>
      <c r="Z18" s="22"/>
      <c r="AA18" s="15"/>
      <c r="AB18" s="15"/>
      <c r="AC18" s="15"/>
      <c r="AD18" s="15"/>
      <c r="AE18" s="24"/>
      <c r="AF18" s="26"/>
      <c r="AG18" s="22"/>
      <c r="AH18" s="15"/>
      <c r="AI18" s="15"/>
      <c r="AJ18" s="15"/>
      <c r="AK18" s="15"/>
      <c r="AL18" s="24"/>
      <c r="AM18" s="26"/>
      <c r="AN18" s="22"/>
      <c r="AO18" s="15"/>
      <c r="AP18" s="15"/>
      <c r="AQ18" s="15"/>
      <c r="AR18" s="15"/>
      <c r="AS18" s="24"/>
      <c r="AT18" s="26"/>
      <c r="AU18" s="22"/>
      <c r="AV18" s="15"/>
      <c r="AW18" s="15"/>
      <c r="AX18" s="15"/>
      <c r="AY18" s="15"/>
      <c r="AZ18" s="24"/>
      <c r="BA18" s="26"/>
      <c r="BB18" s="22"/>
      <c r="BC18" s="15"/>
      <c r="BD18" s="15"/>
      <c r="BE18" s="15"/>
      <c r="BF18" s="15"/>
      <c r="BG18" s="24"/>
      <c r="BH18" s="26"/>
      <c r="BI18" s="22"/>
      <c r="BJ18" s="15"/>
      <c r="BK18" s="15"/>
      <c r="BL18" s="15"/>
      <c r="BM18" s="15"/>
      <c r="BN18" s="15"/>
      <c r="BO18" s="15"/>
    </row>
    <row r="19" spans="1:67" ht="14" x14ac:dyDescent="0.15">
      <c r="A19" s="16">
        <v>15</v>
      </c>
      <c r="B19" s="17" t="s">
        <v>58</v>
      </c>
      <c r="C19" s="17" t="s">
        <v>59</v>
      </c>
      <c r="D19" s="18">
        <v>56</v>
      </c>
      <c r="E19" s="18">
        <v>56</v>
      </c>
      <c r="F19" s="16">
        <f t="shared" si="0"/>
        <v>1</v>
      </c>
      <c r="G19" s="19" t="str">
        <f t="shared" si="1"/>
        <v/>
      </c>
      <c r="H19" s="19">
        <v>46371</v>
      </c>
      <c r="I19" s="17" t="s">
        <v>60</v>
      </c>
      <c r="J19" s="20"/>
      <c r="K19" s="20" t="s">
        <v>18</v>
      </c>
      <c r="L19" s="15"/>
      <c r="M19" s="15"/>
      <c r="N19" s="15"/>
      <c r="O19" s="15"/>
      <c r="P19" s="15"/>
      <c r="Q19" s="24"/>
      <c r="R19" s="26"/>
      <c r="S19" s="22"/>
      <c r="T19" s="15"/>
      <c r="U19" s="15"/>
      <c r="V19" s="15"/>
      <c r="W19" s="15"/>
      <c r="X19" s="24"/>
      <c r="Y19" s="26"/>
      <c r="Z19" s="22"/>
      <c r="AA19" s="15"/>
      <c r="AB19" s="15"/>
      <c r="AC19" s="15"/>
      <c r="AD19" s="15"/>
      <c r="AE19" s="24"/>
      <c r="AF19" s="26"/>
      <c r="AG19" s="22"/>
      <c r="AH19" s="15"/>
      <c r="AI19" s="15"/>
      <c r="AJ19" s="15"/>
      <c r="AK19" s="15"/>
      <c r="AL19" s="24"/>
      <c r="AM19" s="26"/>
      <c r="AN19" s="22"/>
      <c r="AO19" s="15"/>
      <c r="AP19" s="15"/>
      <c r="AQ19" s="15"/>
      <c r="AR19" s="15"/>
      <c r="AS19" s="24"/>
      <c r="AT19" s="26"/>
      <c r="AU19" s="22"/>
      <c r="AV19" s="15"/>
      <c r="AW19" s="15"/>
      <c r="AX19" s="15"/>
      <c r="AY19" s="15"/>
      <c r="AZ19" s="24"/>
      <c r="BA19" s="26"/>
      <c r="BB19" s="22"/>
      <c r="BC19" s="15"/>
      <c r="BD19" s="15"/>
      <c r="BE19" s="15"/>
      <c r="BF19" s="15"/>
      <c r="BG19" s="24"/>
      <c r="BH19" s="26"/>
      <c r="BI19" s="22"/>
      <c r="BJ19" s="15"/>
      <c r="BK19" s="15"/>
      <c r="BL19" s="15"/>
      <c r="BM19" s="15"/>
      <c r="BN19" s="15"/>
      <c r="BO19" s="15"/>
    </row>
    <row r="21" spans="1:67" x14ac:dyDescent="0.15">
      <c r="B21" s="3" t="s">
        <v>61</v>
      </c>
    </row>
    <row r="22" spans="1:67" x14ac:dyDescent="0.15">
      <c r="A22" s="27"/>
      <c r="B22" s="1" t="s">
        <v>62</v>
      </c>
    </row>
    <row r="23" spans="1:67" x14ac:dyDescent="0.15">
      <c r="A23" s="28"/>
      <c r="B23" s="1" t="s">
        <v>63</v>
      </c>
    </row>
    <row r="24" spans="1:67" x14ac:dyDescent="0.15">
      <c r="A24" s="29"/>
      <c r="B24" s="1" t="s">
        <v>64</v>
      </c>
    </row>
    <row r="25" spans="1:67" x14ac:dyDescent="0.15">
      <c r="A25" s="4"/>
      <c r="B25" s="1" t="s">
        <v>65</v>
      </c>
    </row>
    <row r="26" spans="1:67" x14ac:dyDescent="0.15">
      <c r="B26" s="1" t="s">
        <v>66</v>
      </c>
    </row>
    <row r="28" spans="1:67" x14ac:dyDescent="0.15">
      <c r="B28" s="3" t="s">
        <v>67</v>
      </c>
    </row>
    <row r="29" spans="1:67" x14ac:dyDescent="0.15">
      <c r="B29" s="1" t="s">
        <v>68</v>
      </c>
    </row>
    <row r="1000" spans="702:702" ht="15" x14ac:dyDescent="0.2">
      <c r="ZZ1000"/>
    </row>
  </sheetData>
  <mergeCells count="1">
    <mergeCell ref="A2:B2"/>
  </mergeCells>
  <conditionalFormatting sqref="K5:K19">
    <cfRule type="cellIs" dxfId="6" priority="1" stopIfTrue="1" operator="equal">
      <formula>"Ferdig"</formula>
    </cfRule>
    <cfRule type="cellIs" dxfId="5" priority="2" stopIfTrue="1" operator="equal">
      <formula>"Pågår"</formula>
    </cfRule>
  </conditionalFormatting>
  <conditionalFormatting sqref="L5:BO19">
    <cfRule type="expression" dxfId="4" priority="3" stopIfTrue="1">
      <formula>AND(L$4&gt;=$D5,L$4&lt;=$E5,$K5="Ferdig")</formula>
    </cfRule>
    <cfRule type="expression" dxfId="3" priority="4" stopIfTrue="1">
      <formula>AND(L$4&gt;=$D5,L$4&lt;=$E5,$D5=$E5)</formula>
    </cfRule>
    <cfRule type="expression" dxfId="2" priority="5" stopIfTrue="1">
      <formula>AND(L$4&gt;=$D5,L$4&lt;=$E5)</formula>
    </cfRule>
  </conditionalFormatting>
  <dataValidations count="1">
    <dataValidation type="list" allowBlank="1" showInputMessage="1" showErrorMessage="1" sqref="K5:K19" xr:uid="{5869E926-9E66-471E-9416-4B8A169B59D1}">
      <formula1>"Ikke startet,Pågår,Ferdig"</formula1>
    </dataValidation>
  </dataValidations>
  <pageMargins left="0.7" right="0.7" top="0.75" bottom="0.75" header="0.3" footer="0.3"/>
  <pageSetup paperSize="9" scale="3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F91DE-19AF-485E-9730-96B31BB56E3A}">
  <sheetPr>
    <pageSetUpPr fitToPage="1"/>
  </sheetPr>
  <dimension ref="A1:E14"/>
  <sheetViews>
    <sheetView workbookViewId="0">
      <pane ySplit="4" topLeftCell="A5" activePane="bottomLeft" state="frozenSplit"/>
      <selection pane="bottomLeft"/>
    </sheetView>
  </sheetViews>
  <sheetFormatPr baseColWidth="10" defaultColWidth="8.6640625" defaultRowHeight="13" x14ac:dyDescent="0.15"/>
  <cols>
    <col min="1" max="1" width="5.6640625" style="1" customWidth="1"/>
    <col min="2" max="2" width="32.6640625" style="1" customWidth="1"/>
    <col min="3" max="4" width="55.6640625" style="1" customWidth="1"/>
    <col min="5" max="5" width="14.6640625" style="1" customWidth="1"/>
    <col min="6" max="16384" width="8.6640625" style="1"/>
  </cols>
  <sheetData>
    <row r="1" spans="1:5" ht="20" x14ac:dyDescent="0.2">
      <c r="A1" s="2" t="s">
        <v>69</v>
      </c>
    </row>
    <row r="2" spans="1:5" x14ac:dyDescent="0.15">
      <c r="A2" s="6" t="s">
        <v>70</v>
      </c>
    </row>
    <row r="4" spans="1:5" x14ac:dyDescent="0.15">
      <c r="A4" s="30" t="s">
        <v>4</v>
      </c>
      <c r="B4" s="30" t="s">
        <v>71</v>
      </c>
      <c r="C4" s="30" t="s">
        <v>72</v>
      </c>
      <c r="D4" s="30" t="s">
        <v>73</v>
      </c>
      <c r="E4" s="30" t="s">
        <v>14</v>
      </c>
    </row>
    <row r="5" spans="1:5" ht="42" x14ac:dyDescent="0.15">
      <c r="A5" s="31">
        <v>1</v>
      </c>
      <c r="B5" s="17" t="s">
        <v>74</v>
      </c>
      <c r="C5" s="12" t="s">
        <v>75</v>
      </c>
      <c r="D5" s="12" t="s">
        <v>76</v>
      </c>
      <c r="E5" s="12" t="s">
        <v>18</v>
      </c>
    </row>
    <row r="6" spans="1:5" ht="42" x14ac:dyDescent="0.15">
      <c r="A6" s="31">
        <v>2</v>
      </c>
      <c r="B6" s="17" t="s">
        <v>77</v>
      </c>
      <c r="C6" s="12" t="s">
        <v>78</v>
      </c>
      <c r="D6" s="12" t="s">
        <v>79</v>
      </c>
      <c r="E6" s="12" t="s">
        <v>18</v>
      </c>
    </row>
    <row r="7" spans="1:5" ht="28" x14ac:dyDescent="0.15">
      <c r="A7" s="31">
        <v>3</v>
      </c>
      <c r="B7" s="17" t="s">
        <v>80</v>
      </c>
      <c r="C7" s="12" t="s">
        <v>81</v>
      </c>
      <c r="D7" s="12" t="s">
        <v>82</v>
      </c>
      <c r="E7" s="12" t="s">
        <v>18</v>
      </c>
    </row>
    <row r="8" spans="1:5" ht="28" x14ac:dyDescent="0.15">
      <c r="A8" s="31">
        <v>4</v>
      </c>
      <c r="B8" s="17" t="s">
        <v>83</v>
      </c>
      <c r="C8" s="12" t="s">
        <v>84</v>
      </c>
      <c r="D8" s="12" t="s">
        <v>85</v>
      </c>
      <c r="E8" s="12" t="s">
        <v>18</v>
      </c>
    </row>
    <row r="9" spans="1:5" ht="28" x14ac:dyDescent="0.15">
      <c r="A9" s="31">
        <v>5</v>
      </c>
      <c r="B9" s="17" t="s">
        <v>86</v>
      </c>
      <c r="C9" s="12" t="s">
        <v>87</v>
      </c>
      <c r="D9" s="12" t="s">
        <v>88</v>
      </c>
      <c r="E9" s="12" t="s">
        <v>18</v>
      </c>
    </row>
    <row r="10" spans="1:5" ht="28" x14ac:dyDescent="0.15">
      <c r="A10" s="31">
        <v>6</v>
      </c>
      <c r="B10" s="17" t="s">
        <v>89</v>
      </c>
      <c r="C10" s="12" t="s">
        <v>90</v>
      </c>
      <c r="D10" s="12" t="s">
        <v>91</v>
      </c>
      <c r="E10" s="12" t="s">
        <v>18</v>
      </c>
    </row>
    <row r="11" spans="1:5" ht="28" x14ac:dyDescent="0.15">
      <c r="A11" s="31">
        <v>7</v>
      </c>
      <c r="B11" s="17" t="s">
        <v>92</v>
      </c>
      <c r="C11" s="12" t="s">
        <v>93</v>
      </c>
      <c r="D11" s="12" t="s">
        <v>94</v>
      </c>
      <c r="E11" s="12" t="s">
        <v>18</v>
      </c>
    </row>
    <row r="12" spans="1:5" ht="28" x14ac:dyDescent="0.15">
      <c r="A12" s="31">
        <v>8</v>
      </c>
      <c r="B12" s="17" t="s">
        <v>95</v>
      </c>
      <c r="C12" s="12" t="s">
        <v>96</v>
      </c>
      <c r="D12" s="12" t="s">
        <v>97</v>
      </c>
      <c r="E12" s="12" t="s">
        <v>18</v>
      </c>
    </row>
    <row r="14" spans="1:5" ht="28" x14ac:dyDescent="0.15">
      <c r="B14" s="3" t="s">
        <v>98</v>
      </c>
      <c r="C14" s="8" t="s">
        <v>99</v>
      </c>
    </row>
  </sheetData>
  <conditionalFormatting sqref="E5:E12">
    <cfRule type="cellIs" dxfId="1" priority="1" stopIfTrue="1" operator="equal">
      <formula>"Ferdig"</formula>
    </cfRule>
    <cfRule type="cellIs" dxfId="0" priority="2" stopIfTrue="1" operator="equal">
      <formula>"Pågår"</formula>
    </cfRule>
  </conditionalFormatting>
  <dataValidations count="1">
    <dataValidation type="list" allowBlank="1" showInputMessage="1" showErrorMessage="1" sqref="E5:E12" xr:uid="{CCC36243-5967-4553-90F7-0F2098C626D3}">
      <formula1>"Ikke startet,Pågår,Ferdig"</formula1>
    </dataValidation>
  </dataValidations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Regneark</vt:lpstr>
      </vt:variant>
      <vt:variant>
        <vt:i4>2</vt:i4>
      </vt:variant>
      <vt:variant>
        <vt:lpstr>Navngitte områder</vt:lpstr>
      </vt:variant>
      <vt:variant>
        <vt:i4>1</vt:i4>
      </vt:variant>
    </vt:vector>
  </HeadingPairs>
  <TitlesOfParts>
    <vt:vector size="3" baseType="lpstr">
      <vt:lpstr>Fremdriftsplan</vt:lpstr>
      <vt:lpstr>Tilbakemelding</vt:lpstr>
      <vt:lpstr>Fremdriftsplan!Utskriftstitler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 Wølstad-Knudsen</dc:creator>
  <cp:lastModifiedBy>Carmen Kolstad</cp:lastModifiedBy>
  <dcterms:created xsi:type="dcterms:W3CDTF">2026-10-17T17:09:29Z</dcterms:created>
  <dcterms:modified xsi:type="dcterms:W3CDTF">2026-10-29T19:19:18Z</dcterms:modified>
</cp:coreProperties>
</file>